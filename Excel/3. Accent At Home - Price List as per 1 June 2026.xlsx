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9316f9f664f948/Works/R.B.R/^F Laporan ^F/JPM Quotes/- Local/Mimi/Accent At Home price list/"/>
    </mc:Choice>
  </mc:AlternateContent>
  <xr:revisionPtr revIDLastSave="338" documentId="13_ncr:1_{18D2BDAD-B2FF-4545-ADA7-619BB37FC993}" xr6:coauthVersionLast="47" xr6:coauthVersionMax="47" xr10:uidLastSave="{1FB61E8D-5AAC-46DC-B7F4-12A481EB45C5}"/>
  <bookViews>
    <workbookView xWindow="-103" yWindow="-103" windowWidth="24892" windowHeight="15943" tabRatio="879" xr2:uid="{00000000-000D-0000-FFFF-FFFF00000000}"/>
  </bookViews>
  <sheets>
    <sheet name="Roller" sheetId="1" r:id="rId1"/>
    <sheet name="Venetians" sheetId="21" r:id="rId2"/>
    <sheet name="Vertical &amp; Profile" sheetId="27" r:id="rId3"/>
    <sheet name="Roman" sheetId="23" r:id="rId4"/>
    <sheet name="Panel" sheetId="24" r:id="rId5"/>
    <sheet name="Cellular" sheetId="26" r:id="rId6"/>
    <sheet name="Curtain" sheetId="30" r:id="rId7"/>
    <sheet name="Shutter" sheetId="28" r:id="rId8"/>
    <sheet name="Outdoor" sheetId="31" r:id="rId9"/>
    <sheet name="Awning" sheetId="12" state="hidden" r:id="rId10"/>
    <sheet name="window awning" sheetId="18" state="hidden" r:id="rId11"/>
    <sheet name="window awning2" sheetId="19" state="hidden" r:id="rId12"/>
  </sheets>
  <definedNames>
    <definedName name="_xlnm.Print_Area" localSheetId="5">Cellular!$A$1:$H$36</definedName>
    <definedName name="_xlnm.Print_Area" localSheetId="6">Curtain!$A$1:$H$36</definedName>
    <definedName name="_xlnm.Print_Area" localSheetId="8">Outdoor!$A$1:$H$38</definedName>
    <definedName name="_xlnm.Print_Area" localSheetId="4">Panel!$A$1:$H$49</definedName>
    <definedName name="_xlnm.Print_Area" localSheetId="0">Roller!$A$1:$H$84</definedName>
    <definedName name="_xlnm.Print_Area" localSheetId="3">Roman!$A$1:$H$49</definedName>
    <definedName name="_xlnm.Print_Area" localSheetId="7">Shutter!$A$1:$H$24</definedName>
    <definedName name="_xlnm.Print_Area" localSheetId="1">Venetians!$A$1:$H$45</definedName>
    <definedName name="_xlnm.Print_Area" localSheetId="2">'Vertical &amp; Profile'!$A$1:$H$37</definedName>
    <definedName name="_xlnm.Print_Area" localSheetId="10">#REF!</definedName>
    <definedName name="_xlnm.Print_Area">#REF!</definedName>
    <definedName name="_xlnm.Print_Titles" localSheetId="5">Cellular!$1:$3</definedName>
    <definedName name="_xlnm.Print_Titles" localSheetId="6">Curtain!$1:$3</definedName>
    <definedName name="_xlnm.Print_Titles" localSheetId="8">Outdoor!$1:$3</definedName>
    <definedName name="_xlnm.Print_Titles" localSheetId="4">Panel!$1:$3</definedName>
    <definedName name="_xlnm.Print_Titles" localSheetId="0">Roller!$1:$3</definedName>
    <definedName name="_xlnm.Print_Titles" localSheetId="3">Roman!$1:$3</definedName>
    <definedName name="_xlnm.Print_Titles" localSheetId="7">Shutter!$1:$3</definedName>
    <definedName name="_xlnm.Print_Titles" localSheetId="1">Venetians!$1:$3</definedName>
    <definedName name="_xlnm.Print_Titles" localSheetId="2">'Vertical &amp; Profile'!$1:$3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21" l="1"/>
  <c r="G32" i="30" l="1"/>
  <c r="G20" i="28"/>
  <c r="G32" i="26"/>
  <c r="G45" i="24"/>
  <c r="G45" i="23"/>
  <c r="G33" i="27"/>
</calcChain>
</file>

<file path=xl/sharedStrings.xml><?xml version="1.0" encoding="utf-8"?>
<sst xmlns="http://schemas.openxmlformats.org/spreadsheetml/2006/main" count="1713" uniqueCount="272">
  <si>
    <t>FABRICS</t>
  </si>
  <si>
    <t>Outback (BO)</t>
  </si>
  <si>
    <t>blind</t>
  </si>
  <si>
    <t>Stainless steel chain</t>
  </si>
  <si>
    <t>joint</t>
  </si>
  <si>
    <t>Link system for bay/corner</t>
  </si>
  <si>
    <t>SET</t>
  </si>
  <si>
    <t>N/A</t>
  </si>
  <si>
    <t>pc</t>
  </si>
  <si>
    <t>Link system - dependent</t>
  </si>
  <si>
    <t>Link system - independent</t>
  </si>
  <si>
    <t>unit</t>
  </si>
  <si>
    <t>linear meter</t>
  </si>
  <si>
    <t>JPM sell CW, FOB, USD</t>
  </si>
  <si>
    <t>AWNING - FOLDING ARM</t>
  </si>
  <si>
    <t>PR210</t>
  </si>
  <si>
    <t>PR220</t>
  </si>
  <si>
    <t>PR230</t>
  </si>
  <si>
    <t>BX260</t>
  </si>
  <si>
    <t xml:space="preserve">Flat base bottom with mohair </t>
  </si>
  <si>
    <t>Face fix brackets</t>
  </si>
  <si>
    <t>Cradles</t>
  </si>
  <si>
    <t>Arms</t>
  </si>
  <si>
    <t>Bundeena (open folding arm)</t>
  </si>
  <si>
    <t>Avalon (full casette folding arm)</t>
  </si>
  <si>
    <t>Standard price list for Para acrylic fabric</t>
  </si>
  <si>
    <t>WINDOW AWNING</t>
  </si>
  <si>
    <t>Windsor (traditional automatic)</t>
  </si>
  <si>
    <t>Richmond (shademax automatic)</t>
  </si>
  <si>
    <t>Brunswick (pivot arm)</t>
  </si>
  <si>
    <t>Kirribilli (multistop channel)</t>
  </si>
  <si>
    <t>Add hood</t>
  </si>
  <si>
    <t>Folding arm recovers</t>
  </si>
  <si>
    <t>add 20% utk Sunbrella and Nova E1</t>
  </si>
  <si>
    <t>Awning Recovers</t>
  </si>
  <si>
    <t>Add 20% surcharge for Sunbrella acrylic fabric &amp; Nova Solscape E1</t>
  </si>
  <si>
    <t>WINDOW AWNING STAGE 2</t>
  </si>
  <si>
    <t>Armidale (straight drop verandah)</t>
  </si>
  <si>
    <t>Comboyne (straight drop convertible)</t>
  </si>
  <si>
    <t>Leura (open straight drop non guide)</t>
  </si>
  <si>
    <t>Glenbrook (95 full cassette straight drop non guide)</t>
  </si>
  <si>
    <t>Glenbrook (125 full cassette straight drop non guide)</t>
  </si>
  <si>
    <t>Narooma (open straight drop wire guide)</t>
  </si>
  <si>
    <t>Mornington (95 full cassette straight drop wire guide)</t>
  </si>
  <si>
    <t>Mornington (125 full cassette straight drop wire guide)</t>
  </si>
  <si>
    <t>Oberon (open straight drop channel guide)</t>
  </si>
  <si>
    <t>Bundanoon (95 full cassette straight drop channel guide)</t>
  </si>
  <si>
    <t>Bundanoon (125 full cassette straight drop channel guide)</t>
  </si>
  <si>
    <t>All awnings supplied as per factory standard specification.</t>
  </si>
  <si>
    <t xml:space="preserve">It is the sales consultant or retailers responsibility to assess if extra brackets </t>
  </si>
  <si>
    <t>are required, additional bracket list can be found on surcharge sheet</t>
  </si>
  <si>
    <r>
      <rPr>
        <b/>
        <sz val="12"/>
        <color rgb="FFFF0000"/>
        <rFont val="Arial"/>
        <family val="2"/>
      </rPr>
      <t xml:space="preserve">Head or </t>
    </r>
    <r>
      <rPr>
        <b/>
        <sz val="12"/>
        <rFont val="Arial"/>
        <family val="2"/>
      </rPr>
      <t>Fascia fix brackets</t>
    </r>
  </si>
  <si>
    <r>
      <t xml:space="preserve">300mm </t>
    </r>
    <r>
      <rPr>
        <b/>
        <sz val="12"/>
        <color rgb="FFFF0000"/>
        <rFont val="Arial"/>
        <family val="2"/>
      </rPr>
      <t>Face</t>
    </r>
    <r>
      <rPr>
        <b/>
        <sz val="12"/>
        <rFont val="Arial"/>
        <family val="2"/>
      </rPr>
      <t xml:space="preserve"> mount plates</t>
    </r>
  </si>
  <si>
    <r>
      <t xml:space="preserve">500mm </t>
    </r>
    <r>
      <rPr>
        <b/>
        <sz val="12"/>
        <color rgb="FFFF0000"/>
        <rFont val="Arial"/>
        <family val="2"/>
      </rPr>
      <t>Face</t>
    </r>
    <r>
      <rPr>
        <b/>
        <sz val="12"/>
        <rFont val="Arial"/>
        <family val="2"/>
      </rPr>
      <t xml:space="preserve"> mount plates</t>
    </r>
  </si>
  <si>
    <t>Add Hood</t>
  </si>
  <si>
    <t xml:space="preserve">To allow the folding arm to be fully closed, we can only build to the following formula: </t>
  </si>
  <si>
    <t xml:space="preserve">MIN WIDTH = PROJECTION + 500MM </t>
  </si>
  <si>
    <t>If the ordered size can't meet this criteria we can't make this order</t>
  </si>
  <si>
    <t>Telis 16 RTS (Pure) 16 Channel</t>
  </si>
  <si>
    <t>*ADD 5% from 07 Nov 2013 price list</t>
  </si>
  <si>
    <t>Echo (T)</t>
  </si>
  <si>
    <t>Echo (BO)</t>
  </si>
  <si>
    <t>Linen (BO)</t>
  </si>
  <si>
    <t>Kimora (T)</t>
  </si>
  <si>
    <t>Continental (T)</t>
  </si>
  <si>
    <t>Kimora (BO)</t>
  </si>
  <si>
    <t>Continental (BO)</t>
  </si>
  <si>
    <t>Memphis (T)</t>
  </si>
  <si>
    <t>Memphis (BO)</t>
  </si>
  <si>
    <t>Havana (T)</t>
  </si>
  <si>
    <t>Paseo (T)</t>
  </si>
  <si>
    <t>Paseo (BO)</t>
  </si>
  <si>
    <t>Havana (BO)</t>
  </si>
  <si>
    <t>Essentials</t>
  </si>
  <si>
    <t>Viewscreen 5%</t>
  </si>
  <si>
    <t>Fusion 5%</t>
  </si>
  <si>
    <t>Fiji 5%</t>
  </si>
  <si>
    <t>Avant BO</t>
  </si>
  <si>
    <t>Harrington BO</t>
  </si>
  <si>
    <t>Resene (BO)</t>
  </si>
  <si>
    <t>LIGHT</t>
  </si>
  <si>
    <t>STANDARD</t>
  </si>
  <si>
    <t>HEAVY DUTY</t>
  </si>
  <si>
    <t>WIDTHS</t>
  </si>
  <si>
    <t>2.9 m</t>
  </si>
  <si>
    <t>2.7 m</t>
  </si>
  <si>
    <t>Blackout</t>
  </si>
  <si>
    <t>Screen</t>
  </si>
  <si>
    <t>Dim Out</t>
  </si>
  <si>
    <t>Luxe (BO)</t>
  </si>
  <si>
    <t>Luxe (T)</t>
  </si>
  <si>
    <t>MAX BLIND</t>
  </si>
  <si>
    <t>Note :</t>
  </si>
  <si>
    <t>5 Years Warranty for Parts</t>
  </si>
  <si>
    <t>width &lt; 1.8m</t>
  </si>
  <si>
    <t xml:space="preserve">width &gt;=1.8 m </t>
  </si>
  <si>
    <t>size over 6 m2</t>
  </si>
  <si>
    <t>&amp; size up to 6m2</t>
  </si>
  <si>
    <t>Exclude installation fee and PPN 11%</t>
  </si>
  <si>
    <t>Subject to change without prior notice</t>
  </si>
  <si>
    <t>Dual blinds (Slimline)</t>
  </si>
  <si>
    <t>bracket</t>
  </si>
  <si>
    <t>Dual &amp; Link blinds (Slimline) - dependent</t>
  </si>
  <si>
    <t>Dual &amp; Link blinds (Slimline) - independent</t>
  </si>
  <si>
    <t>Somfy Motor</t>
  </si>
  <si>
    <t>Situo 5 RTS (Pure) 5 Channel</t>
  </si>
  <si>
    <t xml:space="preserve">Charger for SONESSE 30 WF 2/20 RTS </t>
  </si>
  <si>
    <t>Alpha Motor</t>
  </si>
  <si>
    <t>Navigator - Single channel remote</t>
  </si>
  <si>
    <t>Navigator - 5 channels remote</t>
  </si>
  <si>
    <t>Navigator - 16 channels remote</t>
  </si>
  <si>
    <t>IDR/M2</t>
  </si>
  <si>
    <t>OPTIONS</t>
  </si>
  <si>
    <t>PRICE (NO DISC APPLIED)</t>
  </si>
  <si>
    <t>Charger (3 mtr lead)</t>
  </si>
  <si>
    <t>Min 1 m2 per set</t>
  </si>
  <si>
    <t>Accent At Home | Roller</t>
  </si>
  <si>
    <t>Accent At Home | Venetian</t>
  </si>
  <si>
    <t>DESIGN</t>
  </si>
  <si>
    <t>LIMITATION</t>
  </si>
  <si>
    <t>WIDTH</t>
  </si>
  <si>
    <t>DROP</t>
  </si>
  <si>
    <t>SIZE</t>
  </si>
  <si>
    <t>PRICE</t>
  </si>
  <si>
    <t xml:space="preserve">25mm </t>
  </si>
  <si>
    <t>Aluminium Venetian</t>
  </si>
  <si>
    <t>0.3 - 3m</t>
  </si>
  <si>
    <t>0.3 - 3.2m</t>
  </si>
  <si>
    <t>9m2</t>
  </si>
  <si>
    <t>50mm</t>
  </si>
  <si>
    <t>63mm</t>
  </si>
  <si>
    <t>Timber Venetian</t>
  </si>
  <si>
    <t>0.3 - 2.7m</t>
  </si>
  <si>
    <t>6m2</t>
  </si>
  <si>
    <t>0.3 - 2.4m</t>
  </si>
  <si>
    <t>Smart Privacy</t>
  </si>
  <si>
    <t>0.5 - 2.4m</t>
  </si>
  <si>
    <t>0.6 - 2.4m</t>
  </si>
  <si>
    <t>5.76m2</t>
  </si>
  <si>
    <t xml:space="preserve">Metal Tassel </t>
  </si>
  <si>
    <t>2 on 1 headrail</t>
  </si>
  <si>
    <t>Cut out/bay/corner</t>
  </si>
  <si>
    <t>cutouts</t>
  </si>
  <si>
    <r>
      <t xml:space="preserve">Econo Venetian - </t>
    </r>
    <r>
      <rPr>
        <b/>
        <sz val="10"/>
        <color theme="0" tint="-0.499984740745262"/>
        <rFont val="Calibri"/>
        <family val="2"/>
        <scheme val="minor"/>
      </rPr>
      <t>Cordless</t>
    </r>
  </si>
  <si>
    <r>
      <t xml:space="preserve">Econo Venetian - </t>
    </r>
    <r>
      <rPr>
        <b/>
        <sz val="10"/>
        <color theme="0" tint="-0.499984740745262"/>
        <rFont val="Calibri"/>
        <family val="2"/>
        <scheme val="minor"/>
      </rPr>
      <t>Corded</t>
    </r>
  </si>
  <si>
    <t>0.3 - 2.5m</t>
  </si>
  <si>
    <t>OPERATION</t>
  </si>
  <si>
    <t>Cords</t>
  </si>
  <si>
    <t>Accent At Home | Roman</t>
  </si>
  <si>
    <t>CLASSIC</t>
  </si>
  <si>
    <t>SEWLESS</t>
  </si>
  <si>
    <t>VILLA</t>
  </si>
  <si>
    <t>Non standard pockets</t>
  </si>
  <si>
    <t>add</t>
  </si>
  <si>
    <t>Accent At Home | Panel Glides</t>
  </si>
  <si>
    <t>Excess track</t>
  </si>
  <si>
    <t>meter</t>
  </si>
  <si>
    <t>Accent At Home | Cellular Shades</t>
  </si>
  <si>
    <t>Semi Opaque</t>
  </si>
  <si>
    <t>Opaque</t>
  </si>
  <si>
    <t>Cordless</t>
  </si>
  <si>
    <t>Cut out</t>
  </si>
  <si>
    <t>Vertical Complete Set</t>
  </si>
  <si>
    <t>89mm</t>
  </si>
  <si>
    <t>127mm</t>
  </si>
  <si>
    <t>Accent At Home | Vertical &amp; Profile</t>
  </si>
  <si>
    <t>Vertical Slats</t>
  </si>
  <si>
    <t>Track</t>
  </si>
  <si>
    <t>0.3 - 5.5m</t>
  </si>
  <si>
    <t>0.3 - 5.4m</t>
  </si>
  <si>
    <t>0.5 - 2.9m</t>
  </si>
  <si>
    <t>0.6 - 2.7m</t>
  </si>
  <si>
    <t>10.8 m2</t>
  </si>
  <si>
    <t>5.2 m2</t>
  </si>
  <si>
    <t>0.5 - 2.1m</t>
  </si>
  <si>
    <t>0.5 - 3.6m</t>
  </si>
  <si>
    <t>(includes standard framing options)</t>
  </si>
  <si>
    <t>Hinged Shutter</t>
  </si>
  <si>
    <t>Chain and Cord</t>
  </si>
  <si>
    <t>Wand</t>
  </si>
  <si>
    <t>Cord</t>
  </si>
  <si>
    <t>Accent At Home | PVC Shutter - 89mm</t>
  </si>
  <si>
    <t>2.5m</t>
  </si>
  <si>
    <t>0.9m</t>
  </si>
  <si>
    <t>max drop 3.2m | min width 0.6m</t>
  </si>
  <si>
    <t>5.4 m</t>
  </si>
  <si>
    <t>max drop 3.2m | min width 0.4m</t>
  </si>
  <si>
    <t>Cord &amp; Wand</t>
  </si>
  <si>
    <t>max drop 3.2m | min width 0.2m</t>
  </si>
  <si>
    <t>Situo 1 RTS (Pure)</t>
  </si>
  <si>
    <t xml:space="preserve">Connexoon </t>
  </si>
  <si>
    <t>Somfy Altus RTS40 3/30</t>
  </si>
  <si>
    <t>Somfy SONESSE 40 3/30</t>
  </si>
  <si>
    <t>Somfy SONESSE 40 6/20</t>
  </si>
  <si>
    <t>Somfy Sonnesse 30 WF 2/20 RTS</t>
  </si>
  <si>
    <t>Alpha DC Motor (2Nm / 31rpm)</t>
  </si>
  <si>
    <t>Top Track</t>
  </si>
  <si>
    <t>Somfy LS40 3/30 (C Bus system)</t>
  </si>
  <si>
    <t>TDBU CORDED</t>
  </si>
  <si>
    <t>TDBU CORDLESS</t>
  </si>
  <si>
    <t>D&amp;N CORDED</t>
  </si>
  <si>
    <t>D&amp;N CORDLESS</t>
  </si>
  <si>
    <t>Minimum Width 45 cm; Maximum Width 300 cm, Maximum Drop 360 cm</t>
  </si>
  <si>
    <t>PER BLIND DARI HARGA SINGLE CORDED</t>
  </si>
  <si>
    <t>Minimum Width 55 cm, Maximum Width 240 cm, Maximum Drop 210 cm</t>
  </si>
  <si>
    <t>Utk D&amp;N perlu di jumlahkan harga semi opaque dan opaque, sebelum di tambah surcharge</t>
  </si>
  <si>
    <t xml:space="preserve"> 90° Corner/135° Bay window surcharge</t>
  </si>
  <si>
    <t xml:space="preserve"> Frame Buildout</t>
  </si>
  <si>
    <t xml:space="preserve"> of total m²</t>
  </si>
  <si>
    <t xml:space="preserve"> per opening</t>
  </si>
  <si>
    <t xml:space="preserve"> Bi-fold Shutter</t>
  </si>
  <si>
    <t xml:space="preserve"> Sliding Shutter</t>
  </si>
  <si>
    <t>Marseille (BO)</t>
  </si>
  <si>
    <t>Nusa Dua (BO)</t>
  </si>
  <si>
    <t>Uluwatu (BO)</t>
  </si>
  <si>
    <t>Uluwatu (T)</t>
  </si>
  <si>
    <t>painting per m2</t>
  </si>
  <si>
    <t>Seminyak (BO)</t>
  </si>
  <si>
    <t>Seminyak (T)</t>
  </si>
  <si>
    <t>Wire Guide Roller</t>
  </si>
  <si>
    <t>Others fabric, except Essentials</t>
  </si>
  <si>
    <t>per blind</t>
  </si>
  <si>
    <t>Saphora Drape</t>
  </si>
  <si>
    <t>0.6 - 4m</t>
  </si>
  <si>
    <t>0.5 - 5.4m</t>
  </si>
  <si>
    <t>Accent At Home | Curtain</t>
  </si>
  <si>
    <t>FABRIC</t>
  </si>
  <si>
    <t>Alpha AC Motor (5Nm / 28rpm)</t>
  </si>
  <si>
    <t>cassette headbox</t>
  </si>
  <si>
    <t>side channel</t>
  </si>
  <si>
    <t>linear meter (2x drop)</t>
  </si>
  <si>
    <t>Viewscreen X 10%</t>
  </si>
  <si>
    <t>Price list effective as per 01 June 2026</t>
  </si>
  <si>
    <t>63mm - Clearance</t>
  </si>
  <si>
    <t>Profile - Clearance</t>
  </si>
  <si>
    <t>Min 4 m2 per set</t>
  </si>
  <si>
    <t>OUTDOOR WIRE GUIDE - CRANK</t>
  </si>
  <si>
    <t>4.8m</t>
  </si>
  <si>
    <t>3.5m</t>
  </si>
  <si>
    <t>16.8m2</t>
  </si>
  <si>
    <t>&lt;=4-6 m2</t>
  </si>
  <si>
    <t>&gt;=6-10 m2</t>
  </si>
  <si>
    <t>&gt;=10-14 m2</t>
  </si>
  <si>
    <t>&gt;=14 m2</t>
  </si>
  <si>
    <t>OUTDOOR ZIP</t>
  </si>
  <si>
    <t>6m</t>
  </si>
  <si>
    <t>4.5m</t>
  </si>
  <si>
    <t>27m2</t>
  </si>
  <si>
    <t>SOMFY MOTOR ALTUS 50 RTS 40/17</t>
  </si>
  <si>
    <t>Motor</t>
  </si>
  <si>
    <t>Accent At Home | Outdoor</t>
  </si>
  <si>
    <t>AOK MOTOR 45 RTS 20/17 + REMOTE</t>
  </si>
  <si>
    <t>Min 2 m2</t>
  </si>
  <si>
    <t>LOVINA</t>
  </si>
  <si>
    <t xml:space="preserve">DREAMLAND </t>
  </si>
  <si>
    <t xml:space="preserve">PANDAWA </t>
  </si>
  <si>
    <t>Serene - Ethereal White</t>
  </si>
  <si>
    <t>Lumia - Crystal Veil</t>
  </si>
  <si>
    <t>ORION</t>
  </si>
  <si>
    <t>LIORA</t>
  </si>
  <si>
    <t>ELARA</t>
  </si>
  <si>
    <t>ATLAS</t>
  </si>
  <si>
    <t>SHEERS</t>
  </si>
  <si>
    <t>BLACKOUT</t>
  </si>
  <si>
    <t>360cm</t>
  </si>
  <si>
    <t>320cm</t>
  </si>
  <si>
    <t>330cm</t>
  </si>
  <si>
    <t>340cm</t>
  </si>
  <si>
    <t>IDR/M</t>
  </si>
  <si>
    <t>Curtain Track</t>
  </si>
  <si>
    <t>Per M</t>
  </si>
  <si>
    <t>inc runners, hook and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</si>
</sst>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name val="Courier"/>
      <family val="3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20"/>
      <color rgb="FFFF000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28"/>
      <color rgb="FFFF0000"/>
      <name val="Calibri"/>
      <family val="2"/>
      <scheme val="minor"/>
    </font>
    <font>
      <b/>
      <sz val="36"/>
      <color indexed="12"/>
      <name val="Arial"/>
      <family val="2"/>
    </font>
    <font>
      <sz val="12"/>
      <name val="Arial"/>
      <family val="2"/>
    </font>
    <font>
      <sz val="10"/>
      <color indexed="12"/>
      <name val="Arial"/>
      <family val="2"/>
    </font>
    <font>
      <b/>
      <sz val="24"/>
      <color rgb="FF0070C0"/>
      <name val="Arial"/>
      <family val="2"/>
    </font>
    <font>
      <sz val="28"/>
      <color rgb="FFFF0000"/>
      <name val="Arial"/>
      <family val="2"/>
    </font>
    <font>
      <sz val="11"/>
      <name val="Calibri"/>
      <family val="2"/>
      <scheme val="minor"/>
    </font>
    <font>
      <b/>
      <sz val="22"/>
      <name val="Arial"/>
      <family val="2"/>
    </font>
    <font>
      <b/>
      <sz val="36"/>
      <name val="Arial"/>
      <family val="2"/>
    </font>
    <font>
      <b/>
      <sz val="36"/>
      <color rgb="FFFF0000"/>
      <name val="Arial"/>
      <family val="2"/>
    </font>
    <font>
      <b/>
      <sz val="22"/>
      <color rgb="FFFF0000"/>
      <name val="Calibri"/>
      <family val="2"/>
      <scheme val="minor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4"/>
      <name val="Calibri"/>
      <family val="2"/>
      <scheme val="minor"/>
    </font>
    <font>
      <b/>
      <sz val="28"/>
      <name val="Calibri"/>
      <family val="2"/>
      <scheme val="minor"/>
    </font>
    <font>
      <sz val="28"/>
      <name val="Arial"/>
      <family val="2"/>
    </font>
    <font>
      <b/>
      <sz val="20"/>
      <name val="Arial"/>
      <family val="2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sz val="20"/>
      <name val="Arial"/>
      <family val="2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3"/>
      <color rgb="FFFF0000"/>
      <name val="Calibri"/>
      <family val="2"/>
      <scheme val="minor"/>
    </font>
    <font>
      <sz val="10"/>
      <name val="Arial"/>
      <family val="2"/>
    </font>
    <font>
      <sz val="7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0"/>
      <color theme="0" tint="-0.499984740745262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7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5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 tint="-0.49998474074526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0" fontId="11" fillId="0" borderId="0"/>
    <xf numFmtId="43" fontId="12" fillId="0" borderId="0" applyFont="0" applyFill="0" applyBorder="0" applyAlignment="0" applyProtection="0"/>
    <xf numFmtId="0" fontId="13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10" fillId="0" borderId="0"/>
    <xf numFmtId="0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3" fontId="45" fillId="0" borderId="0" applyFont="0" applyFill="0" applyBorder="0" applyAlignment="0" applyProtection="0"/>
    <xf numFmtId="9" fontId="5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412">
    <xf numFmtId="0" fontId="0" fillId="0" borderId="0" xfId="0"/>
    <xf numFmtId="1" fontId="18" fillId="3" borderId="35" xfId="0" applyNumberFormat="1" applyFont="1" applyFill="1" applyBorder="1" applyAlignment="1" applyProtection="1">
      <alignment vertical="center"/>
      <protection locked="0"/>
    </xf>
    <xf numFmtId="1" fontId="18" fillId="3" borderId="8" xfId="0" applyNumberFormat="1" applyFont="1" applyFill="1" applyBorder="1" applyAlignment="1" applyProtection="1">
      <alignment vertical="center"/>
      <protection locked="0"/>
    </xf>
    <xf numFmtId="0" fontId="25" fillId="0" borderId="0" xfId="0" applyFont="1"/>
    <xf numFmtId="0" fontId="8" fillId="0" borderId="0" xfId="15" applyProtection="1">
      <protection hidden="1"/>
    </xf>
    <xf numFmtId="1" fontId="26" fillId="0" borderId="0" xfId="15" applyNumberFormat="1" applyFont="1" applyProtection="1">
      <protection hidden="1"/>
    </xf>
    <xf numFmtId="1" fontId="27" fillId="3" borderId="0" xfId="15" applyNumberFormat="1" applyFont="1" applyFill="1" applyProtection="1">
      <protection hidden="1"/>
    </xf>
    <xf numFmtId="1" fontId="8" fillId="3" borderId="0" xfId="15" applyNumberFormat="1" applyFill="1" applyProtection="1">
      <protection hidden="1"/>
    </xf>
    <xf numFmtId="1" fontId="28" fillId="3" borderId="0" xfId="15" quotePrefix="1" applyNumberFormat="1" applyFont="1" applyFill="1" applyAlignment="1" applyProtection="1">
      <alignment horizontal="right"/>
      <protection hidden="1"/>
    </xf>
    <xf numFmtId="1" fontId="29" fillId="3" borderId="0" xfId="15" applyNumberFormat="1" applyFont="1" applyFill="1" applyProtection="1">
      <protection hidden="1"/>
    </xf>
    <xf numFmtId="0" fontId="8" fillId="0" borderId="0" xfId="15"/>
    <xf numFmtId="1" fontId="8" fillId="0" borderId="0" xfId="15" applyNumberFormat="1"/>
    <xf numFmtId="1" fontId="8" fillId="3" borderId="0" xfId="15" applyNumberFormat="1" applyFill="1"/>
    <xf numFmtId="1" fontId="11" fillId="0" borderId="6" xfId="15" applyNumberFormat="1" applyFont="1" applyBorder="1" applyAlignment="1" applyProtection="1">
      <alignment vertical="center"/>
      <protection hidden="1"/>
    </xf>
    <xf numFmtId="1" fontId="22" fillId="0" borderId="27" xfId="15" applyNumberFormat="1" applyFont="1" applyBorder="1" applyAlignment="1" applyProtection="1">
      <alignment vertical="center"/>
      <protection locked="0"/>
    </xf>
    <xf numFmtId="1" fontId="11" fillId="0" borderId="27" xfId="15" applyNumberFormat="1" applyFont="1" applyBorder="1" applyAlignment="1" applyProtection="1">
      <alignment vertical="center"/>
      <protection hidden="1"/>
    </xf>
    <xf numFmtId="1" fontId="11" fillId="3" borderId="27" xfId="15" applyNumberFormat="1" applyFont="1" applyFill="1" applyBorder="1" applyAlignment="1" applyProtection="1">
      <alignment vertical="center"/>
      <protection hidden="1"/>
    </xf>
    <xf numFmtId="1" fontId="11" fillId="3" borderId="27" xfId="16" applyNumberFormat="1" applyFont="1" applyFill="1" applyBorder="1" applyAlignment="1" applyProtection="1">
      <alignment vertical="center"/>
      <protection hidden="1"/>
    </xf>
    <xf numFmtId="1" fontId="11" fillId="3" borderId="26" xfId="16" applyNumberFormat="1" applyFont="1" applyFill="1" applyBorder="1" applyAlignment="1" applyProtection="1">
      <alignment vertical="center"/>
      <protection hidden="1"/>
    </xf>
    <xf numFmtId="1" fontId="23" fillId="3" borderId="28" xfId="16" applyNumberFormat="1" applyFont="1" applyFill="1" applyBorder="1" applyAlignment="1" applyProtection="1">
      <alignment vertical="center"/>
      <protection hidden="1"/>
    </xf>
    <xf numFmtId="1" fontId="11" fillId="0" borderId="0" xfId="15" applyNumberFormat="1" applyFont="1" applyAlignment="1" applyProtection="1">
      <alignment vertical="center"/>
      <protection hidden="1"/>
    </xf>
    <xf numFmtId="1" fontId="11" fillId="3" borderId="0" xfId="15" applyNumberFormat="1" applyFont="1" applyFill="1" applyAlignment="1" applyProtection="1">
      <alignment vertical="center"/>
      <protection hidden="1"/>
    </xf>
    <xf numFmtId="1" fontId="11" fillId="3" borderId="0" xfId="16" applyNumberFormat="1" applyFont="1" applyFill="1" applyAlignment="1" applyProtection="1">
      <alignment vertical="center"/>
      <protection hidden="1"/>
    </xf>
    <xf numFmtId="1" fontId="23" fillId="3" borderId="0" xfId="16" applyNumberFormat="1" applyFont="1" applyFill="1" applyAlignment="1" applyProtection="1">
      <alignment vertical="center"/>
      <protection hidden="1"/>
    </xf>
    <xf numFmtId="1" fontId="11" fillId="3" borderId="10" xfId="16" applyNumberFormat="1" applyFont="1" applyFill="1" applyBorder="1" applyAlignment="1" applyProtection="1">
      <alignment vertical="center"/>
      <protection hidden="1"/>
    </xf>
    <xf numFmtId="1" fontId="22" fillId="3" borderId="0" xfId="15" applyNumberFormat="1" applyFont="1" applyFill="1" applyAlignment="1" applyProtection="1">
      <alignment vertical="center"/>
      <protection locked="0"/>
    </xf>
    <xf numFmtId="1" fontId="11" fillId="3" borderId="10" xfId="15" applyNumberFormat="1" applyFont="1" applyFill="1" applyBorder="1" applyAlignment="1" applyProtection="1">
      <alignment vertical="center"/>
      <protection hidden="1"/>
    </xf>
    <xf numFmtId="1" fontId="22" fillId="3" borderId="20" xfId="15" applyNumberFormat="1" applyFont="1" applyFill="1" applyBorder="1" applyAlignment="1" applyProtection="1">
      <alignment vertical="center"/>
      <protection locked="0"/>
    </xf>
    <xf numFmtId="1" fontId="11" fillId="0" borderId="20" xfId="16" applyNumberFormat="1" applyFont="1" applyBorder="1" applyAlignment="1" applyProtection="1">
      <alignment vertical="center"/>
      <protection hidden="1"/>
    </xf>
    <xf numFmtId="1" fontId="11" fillId="3" borderId="20" xfId="16" applyNumberFormat="1" applyFont="1" applyFill="1" applyBorder="1" applyAlignment="1" applyProtection="1">
      <alignment vertical="center"/>
      <protection hidden="1"/>
    </xf>
    <xf numFmtId="1" fontId="11" fillId="3" borderId="25" xfId="16" applyNumberFormat="1" applyFont="1" applyFill="1" applyBorder="1" applyAlignment="1" applyProtection="1">
      <alignment vertical="center"/>
      <protection hidden="1"/>
    </xf>
    <xf numFmtId="1" fontId="19" fillId="0" borderId="0" xfId="15" applyNumberFormat="1" applyFont="1" applyProtection="1">
      <protection hidden="1"/>
    </xf>
    <xf numFmtId="1" fontId="20" fillId="3" borderId="0" xfId="15" applyNumberFormat="1" applyFont="1" applyFill="1" applyProtection="1">
      <protection hidden="1"/>
    </xf>
    <xf numFmtId="1" fontId="20" fillId="3" borderId="0" xfId="15" applyNumberFormat="1" applyFont="1" applyFill="1" applyAlignment="1" applyProtection="1">
      <alignment horizontal="center"/>
      <protection hidden="1"/>
    </xf>
    <xf numFmtId="1" fontId="20" fillId="3" borderId="20" xfId="15" applyNumberFormat="1" applyFont="1" applyFill="1" applyBorder="1" applyAlignment="1" applyProtection="1">
      <alignment horizontal="center"/>
      <protection hidden="1"/>
    </xf>
    <xf numFmtId="1" fontId="18" fillId="0" borderId="21" xfId="15" applyNumberFormat="1" applyFont="1" applyBorder="1" applyAlignment="1" applyProtection="1">
      <alignment vertical="center"/>
      <protection hidden="1"/>
    </xf>
    <xf numFmtId="1" fontId="18" fillId="3" borderId="35" xfId="15" applyNumberFormat="1" applyFont="1" applyFill="1" applyBorder="1" applyAlignment="1" applyProtection="1">
      <alignment vertical="center"/>
      <protection locked="0"/>
    </xf>
    <xf numFmtId="1" fontId="18" fillId="3" borderId="8" xfId="15" applyNumberFormat="1" applyFont="1" applyFill="1" applyBorder="1" applyAlignment="1" applyProtection="1">
      <alignment vertical="center"/>
      <protection locked="0"/>
    </xf>
    <xf numFmtId="1" fontId="18" fillId="0" borderId="23" xfId="15" applyNumberFormat="1" applyFont="1" applyBorder="1" applyAlignment="1" applyProtection="1">
      <alignment vertical="center"/>
      <protection hidden="1"/>
    </xf>
    <xf numFmtId="1" fontId="18" fillId="0" borderId="24" xfId="15" applyNumberFormat="1" applyFont="1" applyBorder="1" applyAlignment="1" applyProtection="1">
      <alignment vertical="center"/>
      <protection hidden="1"/>
    </xf>
    <xf numFmtId="1" fontId="18" fillId="2" borderId="8" xfId="15" applyNumberFormat="1" applyFont="1" applyFill="1" applyBorder="1" applyAlignment="1" applyProtection="1">
      <alignment vertical="center"/>
      <protection locked="0"/>
    </xf>
    <xf numFmtId="0" fontId="30" fillId="3" borderId="0" xfId="13" applyFont="1" applyFill="1" applyAlignment="1" applyProtection="1">
      <alignment vertical="center"/>
      <protection locked="0"/>
    </xf>
    <xf numFmtId="1" fontId="11" fillId="3" borderId="27" xfId="23" applyNumberFormat="1" applyFont="1" applyFill="1" applyBorder="1" applyAlignment="1" applyProtection="1">
      <alignment vertical="center"/>
      <protection hidden="1"/>
    </xf>
    <xf numFmtId="1" fontId="11" fillId="3" borderId="0" xfId="23" applyNumberFormat="1" applyFont="1" applyFill="1" applyAlignment="1" applyProtection="1">
      <alignment vertical="center"/>
      <protection hidden="1"/>
    </xf>
    <xf numFmtId="1" fontId="23" fillId="3" borderId="0" xfId="23" applyNumberFormat="1" applyFont="1" applyFill="1" applyAlignment="1" applyProtection="1">
      <alignment vertical="center"/>
      <protection hidden="1"/>
    </xf>
    <xf numFmtId="1" fontId="11" fillId="0" borderId="20" xfId="23" applyNumberFormat="1" applyFont="1" applyBorder="1" applyAlignment="1" applyProtection="1">
      <alignment vertical="center"/>
      <protection hidden="1"/>
    </xf>
    <xf numFmtId="1" fontId="11" fillId="3" borderId="20" xfId="23" applyNumberFormat="1" applyFont="1" applyFill="1" applyBorder="1" applyAlignment="1" applyProtection="1">
      <alignment vertical="center"/>
      <protection hidden="1"/>
    </xf>
    <xf numFmtId="1" fontId="27" fillId="3" borderId="0" xfId="24" applyNumberFormat="1" applyFont="1" applyFill="1" applyProtection="1">
      <protection hidden="1"/>
    </xf>
    <xf numFmtId="1" fontId="5" fillId="3" borderId="0" xfId="24" applyNumberFormat="1" applyFill="1" applyProtection="1">
      <protection hidden="1"/>
    </xf>
    <xf numFmtId="1" fontId="28" fillId="3" borderId="0" xfId="24" quotePrefix="1" applyNumberFormat="1" applyFont="1" applyFill="1" applyAlignment="1" applyProtection="1">
      <alignment horizontal="right"/>
      <protection hidden="1"/>
    </xf>
    <xf numFmtId="1" fontId="29" fillId="3" borderId="0" xfId="24" applyNumberFormat="1" applyFont="1" applyFill="1" applyProtection="1">
      <protection hidden="1"/>
    </xf>
    <xf numFmtId="1" fontId="27" fillId="3" borderId="0" xfId="24" applyNumberFormat="1" applyFont="1" applyFill="1" applyAlignment="1" applyProtection="1">
      <alignment horizontal="right" vertical="top"/>
      <protection hidden="1"/>
    </xf>
    <xf numFmtId="1" fontId="24" fillId="3" borderId="0" xfId="24" quotePrefix="1" applyNumberFormat="1" applyFont="1" applyFill="1" applyAlignment="1" applyProtection="1">
      <alignment horizontal="right"/>
      <protection hidden="1"/>
    </xf>
    <xf numFmtId="1" fontId="16" fillId="3" borderId="0" xfId="23" applyNumberFormat="1" applyFont="1" applyFill="1" applyAlignment="1" applyProtection="1">
      <alignment vertical="center"/>
      <protection hidden="1"/>
    </xf>
    <xf numFmtId="1" fontId="5" fillId="0" borderId="0" xfId="24" applyNumberFormat="1" applyProtection="1">
      <protection hidden="1"/>
    </xf>
    <xf numFmtId="0" fontId="5" fillId="0" borderId="0" xfId="24" applyProtection="1">
      <protection hidden="1"/>
    </xf>
    <xf numFmtId="1" fontId="5" fillId="0" borderId="0" xfId="24" applyNumberFormat="1"/>
    <xf numFmtId="1" fontId="5" fillId="3" borderId="0" xfId="24" applyNumberFormat="1" applyFill="1"/>
    <xf numFmtId="0" fontId="5" fillId="0" borderId="0" xfId="24"/>
    <xf numFmtId="1" fontId="11" fillId="0" borderId="6" xfId="24" applyNumberFormat="1" applyFont="1" applyBorder="1" applyAlignment="1" applyProtection="1">
      <alignment vertical="center"/>
      <protection hidden="1"/>
    </xf>
    <xf numFmtId="1" fontId="22" fillId="0" borderId="27" xfId="24" applyNumberFormat="1" applyFont="1" applyBorder="1" applyAlignment="1" applyProtection="1">
      <alignment vertical="center"/>
      <protection locked="0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1" fillId="3" borderId="27" xfId="24" applyNumberFormat="1" applyFont="1" applyFill="1" applyBorder="1" applyAlignment="1" applyProtection="1">
      <alignment vertical="center"/>
      <protection hidden="1"/>
    </xf>
    <xf numFmtId="1" fontId="14" fillId="3" borderId="27" xfId="23" applyNumberFormat="1" applyFont="1" applyFill="1" applyBorder="1" applyAlignment="1" applyProtection="1">
      <alignment vertical="center"/>
      <protection hidden="1"/>
    </xf>
    <xf numFmtId="1" fontId="5" fillId="0" borderId="27" xfId="24" applyNumberFormat="1" applyBorder="1"/>
    <xf numFmtId="1" fontId="5" fillId="0" borderId="26" xfId="24" applyNumberFormat="1" applyBorder="1"/>
    <xf numFmtId="1" fontId="11" fillId="0" borderId="28" xfId="24" applyNumberFormat="1" applyFont="1" applyBorder="1" applyAlignment="1" applyProtection="1">
      <alignment vertical="center"/>
      <protection hidden="1"/>
    </xf>
    <xf numFmtId="1" fontId="11" fillId="0" borderId="0" xfId="24" applyNumberFormat="1" applyFont="1" applyAlignment="1" applyProtection="1">
      <alignment vertical="center"/>
      <protection hidden="1"/>
    </xf>
    <xf numFmtId="1" fontId="11" fillId="3" borderId="0" xfId="24" applyNumberFormat="1" applyFont="1" applyFill="1" applyAlignment="1" applyProtection="1">
      <alignment vertical="center"/>
      <protection hidden="1"/>
    </xf>
    <xf numFmtId="1" fontId="14" fillId="3" borderId="0" xfId="23" applyNumberFormat="1" applyFont="1" applyFill="1" applyAlignment="1" applyProtection="1">
      <alignment vertical="center"/>
      <protection hidden="1"/>
    </xf>
    <xf numFmtId="1" fontId="5" fillId="0" borderId="10" xfId="24" applyNumberFormat="1" applyBorder="1"/>
    <xf numFmtId="1" fontId="22" fillId="3" borderId="0" xfId="24" applyNumberFormat="1" applyFont="1" applyFill="1" applyAlignment="1" applyProtection="1">
      <alignment vertical="center"/>
      <protection locked="0"/>
    </xf>
    <xf numFmtId="1" fontId="14" fillId="3" borderId="0" xfId="24" applyNumberFormat="1" applyFont="1" applyFill="1" applyAlignment="1" applyProtection="1">
      <alignment vertical="center"/>
      <protection hidden="1"/>
    </xf>
    <xf numFmtId="1" fontId="14" fillId="0" borderId="19" xfId="24" applyNumberFormat="1" applyFont="1" applyBorder="1" applyAlignment="1" applyProtection="1">
      <alignment vertical="center"/>
      <protection hidden="1"/>
    </xf>
    <xf numFmtId="1" fontId="22" fillId="3" borderId="20" xfId="24" applyNumberFormat="1" applyFont="1" applyFill="1" applyBorder="1" applyAlignment="1" applyProtection="1">
      <alignment vertical="center"/>
      <protection locked="0"/>
    </xf>
    <xf numFmtId="1" fontId="11" fillId="3" borderId="20" xfId="24" applyNumberFormat="1" applyFont="1" applyFill="1" applyBorder="1" applyAlignment="1" applyProtection="1">
      <alignment vertical="center"/>
      <protection hidden="1"/>
    </xf>
    <xf numFmtId="1" fontId="5" fillId="0" borderId="20" xfId="24" applyNumberFormat="1" applyBorder="1"/>
    <xf numFmtId="1" fontId="5" fillId="0" borderId="25" xfId="24" applyNumberFormat="1" applyBorder="1"/>
    <xf numFmtId="1" fontId="18" fillId="0" borderId="21" xfId="24" applyNumberFormat="1" applyFont="1" applyBorder="1" applyAlignment="1" applyProtection="1">
      <alignment vertical="center"/>
      <protection hidden="1"/>
    </xf>
    <xf numFmtId="1" fontId="18" fillId="3" borderId="35" xfId="24" applyNumberFormat="1" applyFont="1" applyFill="1" applyBorder="1" applyAlignment="1" applyProtection="1">
      <alignment vertical="center"/>
      <protection locked="0"/>
    </xf>
    <xf numFmtId="1" fontId="18" fillId="3" borderId="8" xfId="24" applyNumberFormat="1" applyFont="1" applyFill="1" applyBorder="1" applyAlignment="1" applyProtection="1">
      <alignment vertical="center"/>
      <protection locked="0"/>
    </xf>
    <xf numFmtId="1" fontId="18" fillId="0" borderId="23" xfId="24" applyNumberFormat="1" applyFont="1" applyBorder="1" applyAlignment="1" applyProtection="1">
      <alignment vertical="center"/>
      <protection hidden="1"/>
    </xf>
    <xf numFmtId="1" fontId="18" fillId="0" borderId="24" xfId="24" applyNumberFormat="1" applyFont="1" applyBorder="1" applyAlignment="1" applyProtection="1">
      <alignment vertical="center"/>
      <protection hidden="1"/>
    </xf>
    <xf numFmtId="1" fontId="18" fillId="0" borderId="31" xfId="24" applyNumberFormat="1" applyFont="1" applyBorder="1" applyAlignment="1" applyProtection="1">
      <alignment vertical="center"/>
      <protection hidden="1"/>
    </xf>
    <xf numFmtId="1" fontId="18" fillId="0" borderId="33" xfId="24" applyNumberFormat="1" applyFont="1" applyBorder="1" applyAlignment="1" applyProtection="1">
      <alignment vertical="center"/>
      <protection hidden="1"/>
    </xf>
    <xf numFmtId="1" fontId="18" fillId="3" borderId="9" xfId="24" applyNumberFormat="1" applyFont="1" applyFill="1" applyBorder="1" applyAlignment="1" applyProtection="1">
      <alignment vertical="center"/>
      <protection locked="0"/>
    </xf>
    <xf numFmtId="1" fontId="18" fillId="3" borderId="9" xfId="15" applyNumberFormat="1" applyFont="1" applyFill="1" applyBorder="1" applyAlignment="1" applyProtection="1">
      <alignment vertical="center"/>
      <protection locked="0"/>
    </xf>
    <xf numFmtId="1" fontId="18" fillId="3" borderId="0" xfId="15" applyNumberFormat="1" applyFont="1" applyFill="1" applyAlignment="1" applyProtection="1">
      <alignment vertical="center"/>
      <protection locked="0"/>
    </xf>
    <xf numFmtId="1" fontId="18" fillId="2" borderId="9" xfId="15" applyNumberFormat="1" applyFont="1" applyFill="1" applyBorder="1" applyAlignment="1" applyProtection="1">
      <alignment vertical="center"/>
      <protection locked="0"/>
    </xf>
    <xf numFmtId="1" fontId="18" fillId="3" borderId="0" xfId="21" applyNumberFormat="1" applyFont="1" applyFill="1" applyAlignment="1" applyProtection="1">
      <alignment vertical="center"/>
      <protection locked="0"/>
    </xf>
    <xf numFmtId="1" fontId="18" fillId="0" borderId="21" xfId="21" applyNumberFormat="1" applyFont="1" applyBorder="1" applyAlignment="1" applyProtection="1">
      <alignment vertical="center"/>
      <protection hidden="1"/>
    </xf>
    <xf numFmtId="1" fontId="18" fillId="3" borderId="35" xfId="21" applyNumberFormat="1" applyFont="1" applyFill="1" applyBorder="1" applyAlignment="1" applyProtection="1">
      <alignment vertical="center"/>
      <protection locked="0"/>
    </xf>
    <xf numFmtId="1" fontId="18" fillId="3" borderId="8" xfId="21" applyNumberFormat="1" applyFont="1" applyFill="1" applyBorder="1" applyAlignment="1" applyProtection="1">
      <alignment vertical="center"/>
      <protection locked="0"/>
    </xf>
    <xf numFmtId="1" fontId="18" fillId="3" borderId="9" xfId="21" applyNumberFormat="1" applyFont="1" applyFill="1" applyBorder="1" applyAlignment="1" applyProtection="1">
      <alignment vertical="center"/>
      <protection locked="0"/>
    </xf>
    <xf numFmtId="0" fontId="25" fillId="0" borderId="0" xfId="21" applyFont="1"/>
    <xf numFmtId="1" fontId="18" fillId="0" borderId="23" xfId="21" applyNumberFormat="1" applyFont="1" applyBorder="1" applyAlignment="1" applyProtection="1">
      <alignment vertical="center"/>
      <protection hidden="1"/>
    </xf>
    <xf numFmtId="1" fontId="18" fillId="0" borderId="24" xfId="21" applyNumberFormat="1" applyFont="1" applyBorder="1" applyAlignment="1" applyProtection="1">
      <alignment vertical="center"/>
      <protection hidden="1"/>
    </xf>
    <xf numFmtId="1" fontId="21" fillId="5" borderId="4" xfId="11" applyNumberFormat="1" applyFont="1" applyFill="1" applyBorder="1" applyAlignment="1" applyProtection="1">
      <alignment horizontal="right" vertical="center"/>
      <protection locked="0"/>
    </xf>
    <xf numFmtId="1" fontId="27" fillId="3" borderId="0" xfId="25" applyNumberFormat="1" applyFont="1" applyFill="1" applyProtection="1">
      <protection hidden="1"/>
    </xf>
    <xf numFmtId="1" fontId="4" fillId="3" borderId="0" xfId="25" applyNumberFormat="1" applyFill="1" applyProtection="1">
      <protection hidden="1"/>
    </xf>
    <xf numFmtId="1" fontId="28" fillId="3" borderId="0" xfId="25" quotePrefix="1" applyNumberFormat="1" applyFont="1" applyFill="1" applyAlignment="1" applyProtection="1">
      <alignment horizontal="right"/>
      <protection hidden="1"/>
    </xf>
    <xf numFmtId="1" fontId="29" fillId="3" borderId="0" xfId="25" applyNumberFormat="1" applyFont="1" applyFill="1" applyProtection="1">
      <protection hidden="1"/>
    </xf>
    <xf numFmtId="1" fontId="27" fillId="3" borderId="0" xfId="25" applyNumberFormat="1" applyFont="1" applyFill="1" applyAlignment="1" applyProtection="1">
      <alignment horizontal="right" vertical="top"/>
      <protection hidden="1"/>
    </xf>
    <xf numFmtId="1" fontId="24" fillId="3" borderId="0" xfId="25" quotePrefix="1" applyNumberFormat="1" applyFont="1" applyFill="1" applyAlignment="1" applyProtection="1">
      <alignment horizontal="right"/>
      <protection hidden="1"/>
    </xf>
    <xf numFmtId="1" fontId="16" fillId="3" borderId="0" xfId="26" applyNumberFormat="1" applyFont="1" applyFill="1" applyAlignment="1" applyProtection="1">
      <alignment vertical="center"/>
      <protection hidden="1"/>
    </xf>
    <xf numFmtId="0" fontId="4" fillId="3" borderId="0" xfId="25" applyFill="1" applyProtection="1">
      <protection hidden="1"/>
    </xf>
    <xf numFmtId="0" fontId="4" fillId="0" borderId="0" xfId="25" applyProtection="1">
      <protection hidden="1"/>
    </xf>
    <xf numFmtId="1" fontId="4" fillId="3" borderId="0" xfId="25" applyNumberFormat="1" applyFill="1"/>
    <xf numFmtId="0" fontId="4" fillId="3" borderId="0" xfId="25" applyFill="1"/>
    <xf numFmtId="0" fontId="4" fillId="0" borderId="0" xfId="25"/>
    <xf numFmtId="1" fontId="11" fillId="3" borderId="6" xfId="25" applyNumberFormat="1" applyFont="1" applyFill="1" applyBorder="1" applyAlignment="1" applyProtection="1">
      <alignment vertical="center"/>
      <protection hidden="1"/>
    </xf>
    <xf numFmtId="1" fontId="22" fillId="3" borderId="27" xfId="25" applyNumberFormat="1" applyFont="1" applyFill="1" applyBorder="1" applyAlignment="1" applyProtection="1">
      <alignment vertical="center"/>
      <protection locked="0"/>
    </xf>
    <xf numFmtId="1" fontId="11" fillId="3" borderId="27" xfId="25" applyNumberFormat="1" applyFont="1" applyFill="1" applyBorder="1" applyAlignment="1" applyProtection="1">
      <alignment vertical="center"/>
      <protection hidden="1"/>
    </xf>
    <xf numFmtId="1" fontId="11" fillId="3" borderId="27" xfId="26" applyNumberFormat="1" applyFont="1" applyFill="1" applyBorder="1" applyAlignment="1" applyProtection="1">
      <alignment vertical="center"/>
      <protection hidden="1"/>
    </xf>
    <xf numFmtId="1" fontId="14" fillId="3" borderId="27" xfId="26" applyNumberFormat="1" applyFont="1" applyFill="1" applyBorder="1" applyAlignment="1" applyProtection="1">
      <alignment vertical="center"/>
      <protection hidden="1"/>
    </xf>
    <xf numFmtId="1" fontId="4" fillId="3" borderId="27" xfId="25" applyNumberFormat="1" applyFill="1" applyBorder="1"/>
    <xf numFmtId="1" fontId="4" fillId="3" borderId="26" xfId="25" applyNumberFormat="1" applyFill="1" applyBorder="1"/>
    <xf numFmtId="1" fontId="11" fillId="3" borderId="28" xfId="25" applyNumberFormat="1" applyFont="1" applyFill="1" applyBorder="1" applyAlignment="1" applyProtection="1">
      <alignment vertical="center"/>
      <protection hidden="1"/>
    </xf>
    <xf numFmtId="1" fontId="23" fillId="3" borderId="0" xfId="26" applyNumberFormat="1" applyFont="1" applyFill="1" applyAlignment="1" applyProtection="1">
      <alignment vertical="center"/>
      <protection hidden="1"/>
    </xf>
    <xf numFmtId="1" fontId="11" fillId="3" borderId="0" xfId="25" applyNumberFormat="1" applyFont="1" applyFill="1" applyAlignment="1" applyProtection="1">
      <alignment vertical="center"/>
      <protection hidden="1"/>
    </xf>
    <xf numFmtId="1" fontId="11" fillId="3" borderId="0" xfId="26" applyNumberFormat="1" applyFont="1" applyFill="1" applyAlignment="1" applyProtection="1">
      <alignment vertical="center"/>
      <protection hidden="1"/>
    </xf>
    <xf numFmtId="1" fontId="14" fillId="3" borderId="0" xfId="26" applyNumberFormat="1" applyFont="1" applyFill="1" applyAlignment="1" applyProtection="1">
      <alignment vertical="center"/>
      <protection hidden="1"/>
    </xf>
    <xf numFmtId="1" fontId="4" fillId="3" borderId="10" xfId="25" applyNumberFormat="1" applyFill="1" applyBorder="1"/>
    <xf numFmtId="1" fontId="14" fillId="3" borderId="0" xfId="25" applyNumberFormat="1" applyFont="1" applyFill="1" applyAlignment="1" applyProtection="1">
      <alignment vertical="center"/>
      <protection hidden="1"/>
    </xf>
    <xf numFmtId="1" fontId="14" fillId="3" borderId="19" xfId="25" applyNumberFormat="1" applyFont="1" applyFill="1" applyBorder="1" applyAlignment="1" applyProtection="1">
      <alignment vertical="center"/>
      <protection hidden="1"/>
    </xf>
    <xf numFmtId="1" fontId="11" fillId="3" borderId="20" xfId="26" applyNumberFormat="1" applyFont="1" applyFill="1" applyBorder="1" applyAlignment="1" applyProtection="1">
      <alignment vertical="center"/>
      <protection hidden="1"/>
    </xf>
    <xf numFmtId="1" fontId="11" fillId="3" borderId="20" xfId="25" applyNumberFormat="1" applyFont="1" applyFill="1" applyBorder="1" applyAlignment="1" applyProtection="1">
      <alignment vertical="center"/>
      <protection hidden="1"/>
    </xf>
    <xf numFmtId="0" fontId="15" fillId="0" borderId="0" xfId="25" applyFont="1"/>
    <xf numFmtId="1" fontId="33" fillId="0" borderId="0" xfId="25" applyNumberFormat="1" applyFont="1" applyProtection="1">
      <protection hidden="1"/>
    </xf>
    <xf numFmtId="1" fontId="25" fillId="3" borderId="0" xfId="25" applyNumberFormat="1" applyFont="1" applyFill="1" applyProtection="1">
      <protection hidden="1"/>
    </xf>
    <xf numFmtId="1" fontId="27" fillId="3" borderId="20" xfId="25" applyNumberFormat="1" applyFont="1" applyFill="1" applyBorder="1" applyAlignment="1" applyProtection="1">
      <alignment horizontal="center"/>
      <protection hidden="1"/>
    </xf>
    <xf numFmtId="1" fontId="34" fillId="0" borderId="0" xfId="25" quotePrefix="1" applyNumberFormat="1" applyFont="1" applyAlignment="1" applyProtection="1">
      <alignment horizontal="right"/>
      <protection hidden="1"/>
    </xf>
    <xf numFmtId="1" fontId="35" fillId="0" borderId="0" xfId="26" applyNumberFormat="1" applyFont="1" applyAlignment="1" applyProtection="1">
      <alignment vertical="center"/>
      <protection hidden="1"/>
    </xf>
    <xf numFmtId="1" fontId="25" fillId="0" borderId="0" xfId="25" applyNumberFormat="1" applyFont="1"/>
    <xf numFmtId="1" fontId="18" fillId="0" borderId="21" xfId="25" applyNumberFormat="1" applyFont="1" applyBorder="1" applyAlignment="1" applyProtection="1">
      <alignment vertical="center"/>
      <protection hidden="1"/>
    </xf>
    <xf numFmtId="1" fontId="18" fillId="3" borderId="35" xfId="25" applyNumberFormat="1" applyFont="1" applyFill="1" applyBorder="1" applyAlignment="1" applyProtection="1">
      <alignment vertical="center"/>
      <protection locked="0"/>
    </xf>
    <xf numFmtId="1" fontId="18" fillId="3" borderId="8" xfId="25" applyNumberFormat="1" applyFont="1" applyFill="1" applyBorder="1" applyAlignment="1" applyProtection="1">
      <alignment vertical="center"/>
      <protection locked="0"/>
    </xf>
    <xf numFmtId="1" fontId="18" fillId="3" borderId="9" xfId="25" applyNumberFormat="1" applyFont="1" applyFill="1" applyBorder="1" applyAlignment="1" applyProtection="1">
      <alignment vertical="center"/>
      <protection locked="0"/>
    </xf>
    <xf numFmtId="1" fontId="18" fillId="0" borderId="23" xfId="25" applyNumberFormat="1" applyFont="1" applyBorder="1" applyAlignment="1" applyProtection="1">
      <alignment vertical="center"/>
      <protection hidden="1"/>
    </xf>
    <xf numFmtId="1" fontId="18" fillId="0" borderId="24" xfId="25" applyNumberFormat="1" applyFont="1" applyBorder="1" applyAlignment="1" applyProtection="1">
      <alignment vertical="center"/>
      <protection hidden="1"/>
    </xf>
    <xf numFmtId="1" fontId="18" fillId="0" borderId="31" xfId="25" applyNumberFormat="1" applyFont="1" applyBorder="1" applyAlignment="1" applyProtection="1">
      <alignment vertical="center"/>
      <protection hidden="1"/>
    </xf>
    <xf numFmtId="0" fontId="36" fillId="0" borderId="0" xfId="25" applyFont="1"/>
    <xf numFmtId="1" fontId="37" fillId="0" borderId="0" xfId="25" applyNumberFormat="1" applyFont="1"/>
    <xf numFmtId="1" fontId="25" fillId="3" borderId="0" xfId="25" applyNumberFormat="1" applyFont="1" applyFill="1"/>
    <xf numFmtId="0" fontId="25" fillId="0" borderId="0" xfId="24" applyFont="1"/>
    <xf numFmtId="1" fontId="33" fillId="0" borderId="0" xfId="24" applyNumberFormat="1" applyFont="1" applyProtection="1">
      <protection hidden="1"/>
    </xf>
    <xf numFmtId="1" fontId="25" fillId="3" borderId="0" xfId="24" applyNumberFormat="1" applyFont="1" applyFill="1" applyProtection="1">
      <protection hidden="1"/>
    </xf>
    <xf numFmtId="1" fontId="27" fillId="3" borderId="20" xfId="24" applyNumberFormat="1" applyFont="1" applyFill="1" applyBorder="1" applyAlignment="1" applyProtection="1">
      <alignment horizontal="center"/>
      <protection hidden="1"/>
    </xf>
    <xf numFmtId="1" fontId="34" fillId="0" borderId="0" xfId="24" quotePrefix="1" applyNumberFormat="1" applyFont="1" applyAlignment="1" applyProtection="1">
      <alignment horizontal="right"/>
      <protection hidden="1"/>
    </xf>
    <xf numFmtId="1" fontId="35" fillId="0" borderId="0" xfId="23" applyNumberFormat="1" applyFont="1" applyAlignment="1" applyProtection="1">
      <alignment vertical="center"/>
      <protection hidden="1"/>
    </xf>
    <xf numFmtId="1" fontId="25" fillId="0" borderId="0" xfId="24" applyNumberFormat="1" applyFont="1"/>
    <xf numFmtId="1" fontId="25" fillId="3" borderId="0" xfId="24" applyNumberFormat="1" applyFont="1" applyFill="1"/>
    <xf numFmtId="0" fontId="36" fillId="0" borderId="0" xfId="24" applyFont="1"/>
    <xf numFmtId="1" fontId="37" fillId="0" borderId="0" xfId="24" applyNumberFormat="1" applyFont="1"/>
    <xf numFmtId="0" fontId="21" fillId="3" borderId="0" xfId="13" applyFont="1" applyFill="1" applyAlignment="1" applyProtection="1">
      <alignment vertical="center"/>
      <protection locked="0"/>
    </xf>
    <xf numFmtId="1" fontId="25" fillId="3" borderId="10" xfId="25" applyNumberFormat="1" applyFont="1" applyFill="1" applyBorder="1"/>
    <xf numFmtId="1" fontId="11" fillId="3" borderId="0" xfId="25" applyNumberFormat="1" applyFont="1" applyFill="1" applyAlignment="1" applyProtection="1">
      <alignment vertical="center"/>
      <protection locked="0"/>
    </xf>
    <xf numFmtId="1" fontId="11" fillId="3" borderId="20" xfId="25" applyNumberFormat="1" applyFont="1" applyFill="1" applyBorder="1" applyAlignment="1" applyProtection="1">
      <alignment vertical="center"/>
      <protection locked="0"/>
    </xf>
    <xf numFmtId="1" fontId="25" fillId="3" borderId="20" xfId="25" applyNumberFormat="1" applyFont="1" applyFill="1" applyBorder="1"/>
    <xf numFmtId="1" fontId="25" fillId="3" borderId="25" xfId="25" applyNumberFormat="1" applyFont="1" applyFill="1" applyBorder="1"/>
    <xf numFmtId="0" fontId="25" fillId="3" borderId="0" xfId="25" applyFont="1" applyFill="1"/>
    <xf numFmtId="1" fontId="33" fillId="3" borderId="0" xfId="25" applyNumberFormat="1" applyFont="1" applyFill="1" applyProtection="1">
      <protection hidden="1"/>
    </xf>
    <xf numFmtId="1" fontId="27" fillId="3" borderId="0" xfId="25" applyNumberFormat="1" applyFont="1" applyFill="1" applyAlignment="1" applyProtection="1">
      <alignment horizontal="center"/>
      <protection hidden="1"/>
    </xf>
    <xf numFmtId="1" fontId="38" fillId="3" borderId="0" xfId="25" quotePrefix="1" applyNumberFormat="1" applyFont="1" applyFill="1" applyAlignment="1" applyProtection="1">
      <alignment horizontal="right"/>
      <protection hidden="1"/>
    </xf>
    <xf numFmtId="1" fontId="35" fillId="3" borderId="0" xfId="26" applyNumberFormat="1" applyFont="1" applyFill="1" applyProtection="1">
      <protection hidden="1"/>
    </xf>
    <xf numFmtId="1" fontId="18" fillId="3" borderId="21" xfId="25" applyNumberFormat="1" applyFont="1" applyFill="1" applyBorder="1" applyAlignment="1" applyProtection="1">
      <alignment vertical="center"/>
      <protection hidden="1"/>
    </xf>
    <xf numFmtId="1" fontId="18" fillId="3" borderId="7" xfId="25" applyNumberFormat="1" applyFont="1" applyFill="1" applyBorder="1" applyAlignment="1" applyProtection="1">
      <alignment vertical="center"/>
      <protection hidden="1"/>
    </xf>
    <xf numFmtId="1" fontId="18" fillId="3" borderId="22" xfId="25" applyNumberFormat="1" applyFont="1" applyFill="1" applyBorder="1" applyAlignment="1" applyProtection="1">
      <alignment vertical="center"/>
      <protection locked="0"/>
    </xf>
    <xf numFmtId="1" fontId="18" fillId="3" borderId="7" xfId="25" applyNumberFormat="1" applyFont="1" applyFill="1" applyBorder="1" applyAlignment="1" applyProtection="1">
      <alignment vertical="center"/>
      <protection locked="0"/>
    </xf>
    <xf numFmtId="1" fontId="18" fillId="3" borderId="23" xfId="25" applyNumberFormat="1" applyFont="1" applyFill="1" applyBorder="1" applyAlignment="1" applyProtection="1">
      <alignment vertical="center"/>
      <protection hidden="1"/>
    </xf>
    <xf numFmtId="1" fontId="18" fillId="3" borderId="24" xfId="25" applyNumberFormat="1" applyFont="1" applyFill="1" applyBorder="1" applyAlignment="1" applyProtection="1">
      <alignment vertical="center"/>
      <protection hidden="1"/>
    </xf>
    <xf numFmtId="1" fontId="18" fillId="3" borderId="31" xfId="25" applyNumberFormat="1" applyFont="1" applyFill="1" applyBorder="1" applyAlignment="1" applyProtection="1">
      <alignment vertical="center"/>
      <protection hidden="1"/>
    </xf>
    <xf numFmtId="1" fontId="34" fillId="3" borderId="0" xfId="25" quotePrefix="1" applyNumberFormat="1" applyFont="1" applyFill="1" applyAlignment="1" applyProtection="1">
      <alignment horizontal="right"/>
      <protection hidden="1"/>
    </xf>
    <xf numFmtId="1" fontId="17" fillId="3" borderId="0" xfId="26" applyNumberFormat="1" applyFont="1" applyFill="1" applyAlignment="1" applyProtection="1">
      <alignment vertical="center"/>
      <protection hidden="1"/>
    </xf>
    <xf numFmtId="1" fontId="39" fillId="3" borderId="0" xfId="25" applyNumberFormat="1" applyFont="1" applyFill="1" applyProtection="1">
      <protection hidden="1"/>
    </xf>
    <xf numFmtId="1" fontId="39" fillId="3" borderId="0" xfId="25" applyNumberFormat="1" applyFont="1" applyFill="1"/>
    <xf numFmtId="9" fontId="32" fillId="3" borderId="0" xfId="25" applyNumberFormat="1" applyFont="1" applyFill="1"/>
    <xf numFmtId="1" fontId="35" fillId="3" borderId="0" xfId="26" applyNumberFormat="1" applyFont="1" applyFill="1" applyAlignment="1" applyProtection="1">
      <alignment vertical="center"/>
      <protection hidden="1"/>
    </xf>
    <xf numFmtId="9" fontId="36" fillId="3" borderId="0" xfId="25" applyNumberFormat="1" applyFont="1" applyFill="1"/>
    <xf numFmtId="1" fontId="17" fillId="0" borderId="0" xfId="26" applyNumberFormat="1" applyFont="1" applyAlignment="1" applyProtection="1">
      <alignment vertical="center"/>
      <protection hidden="1"/>
    </xf>
    <xf numFmtId="9" fontId="36" fillId="0" borderId="0" xfId="25" applyNumberFormat="1" applyFont="1"/>
    <xf numFmtId="1" fontId="18" fillId="0" borderId="7" xfId="25" applyNumberFormat="1" applyFont="1" applyBorder="1" applyAlignment="1" applyProtection="1">
      <alignment vertical="center"/>
      <protection hidden="1"/>
    </xf>
    <xf numFmtId="0" fontId="36" fillId="3" borderId="0" xfId="25" applyFont="1" applyFill="1"/>
    <xf numFmtId="1" fontId="37" fillId="3" borderId="0" xfId="25" applyNumberFormat="1" applyFont="1" applyFill="1"/>
    <xf numFmtId="0" fontId="25" fillId="0" borderId="0" xfId="25" applyFont="1"/>
    <xf numFmtId="1" fontId="25" fillId="0" borderId="0" xfId="15" applyNumberFormat="1" applyFont="1"/>
    <xf numFmtId="1" fontId="25" fillId="3" borderId="0" xfId="15" applyNumberFormat="1" applyFont="1" applyFill="1"/>
    <xf numFmtId="0" fontId="25" fillId="0" borderId="0" xfId="15" applyFont="1"/>
    <xf numFmtId="0" fontId="36" fillId="0" borderId="0" xfId="21" applyFont="1"/>
    <xf numFmtId="1" fontId="33" fillId="3" borderId="0" xfId="15" applyNumberFormat="1" applyFont="1" applyFill="1" applyProtection="1">
      <protection hidden="1"/>
    </xf>
    <xf numFmtId="1" fontId="25" fillId="3" borderId="0" xfId="15" applyNumberFormat="1" applyFont="1" applyFill="1" applyProtection="1">
      <protection hidden="1"/>
    </xf>
    <xf numFmtId="1" fontId="27" fillId="3" borderId="0" xfId="15" applyNumberFormat="1" applyFont="1" applyFill="1" applyAlignment="1" applyProtection="1">
      <alignment horizontal="center"/>
      <protection hidden="1"/>
    </xf>
    <xf numFmtId="0" fontId="25" fillId="3" borderId="0" xfId="15" applyFont="1" applyFill="1"/>
    <xf numFmtId="1" fontId="18" fillId="3" borderId="21" xfId="15" applyNumberFormat="1" applyFont="1" applyFill="1" applyBorder="1" applyAlignment="1" applyProtection="1">
      <alignment vertical="center"/>
      <protection hidden="1"/>
    </xf>
    <xf numFmtId="1" fontId="18" fillId="3" borderId="23" xfId="15" applyNumberFormat="1" applyFont="1" applyFill="1" applyBorder="1" applyAlignment="1" applyProtection="1">
      <alignment vertical="center"/>
      <protection hidden="1"/>
    </xf>
    <xf numFmtId="1" fontId="18" fillId="3" borderId="24" xfId="15" applyNumberFormat="1" applyFont="1" applyFill="1" applyBorder="1" applyAlignment="1" applyProtection="1">
      <alignment vertical="center"/>
      <protection hidden="1"/>
    </xf>
    <xf numFmtId="1" fontId="27" fillId="3" borderId="0" xfId="24" applyNumberFormat="1" applyFont="1" applyFill="1" applyAlignment="1" applyProtection="1">
      <alignment horizontal="center"/>
      <protection hidden="1"/>
    </xf>
    <xf numFmtId="1" fontId="25" fillId="0" borderId="0" xfId="24" applyNumberFormat="1" applyFont="1" applyProtection="1">
      <protection hidden="1"/>
    </xf>
    <xf numFmtId="1" fontId="38" fillId="0" borderId="0" xfId="24" quotePrefix="1" applyNumberFormat="1" applyFont="1" applyAlignment="1" applyProtection="1">
      <alignment horizontal="right"/>
      <protection hidden="1"/>
    </xf>
    <xf numFmtId="1" fontId="35" fillId="0" borderId="0" xfId="23" applyNumberFormat="1" applyFont="1" applyProtection="1">
      <protection hidden="1"/>
    </xf>
    <xf numFmtId="2" fontId="21" fillId="3" borderId="11" xfId="11" applyNumberFormat="1" applyFont="1" applyFill="1" applyBorder="1" applyAlignment="1" applyProtection="1">
      <alignment horizontal="right" vertical="center"/>
      <protection locked="0"/>
    </xf>
    <xf numFmtId="2" fontId="21" fillId="3" borderId="12" xfId="11" applyNumberFormat="1" applyFont="1" applyFill="1" applyBorder="1" applyAlignment="1" applyProtection="1">
      <alignment horizontal="right" vertical="center"/>
      <protection locked="0"/>
    </xf>
    <xf numFmtId="2" fontId="21" fillId="3" borderId="29" xfId="11" applyNumberFormat="1" applyFont="1" applyFill="1" applyBorder="1" applyAlignment="1" applyProtection="1">
      <alignment horizontal="right" vertical="center"/>
      <protection locked="0"/>
    </xf>
    <xf numFmtId="2" fontId="21" fillId="3" borderId="13" xfId="11" applyNumberFormat="1" applyFont="1" applyFill="1" applyBorder="1" applyAlignment="1" applyProtection="1">
      <alignment horizontal="right" vertical="center"/>
      <protection locked="0"/>
    </xf>
    <xf numFmtId="2" fontId="21" fillId="3" borderId="14" xfId="11" applyNumberFormat="1" applyFont="1" applyFill="1" applyBorder="1" applyAlignment="1" applyProtection="1">
      <alignment horizontal="right" vertical="center"/>
      <protection locked="0"/>
    </xf>
    <xf numFmtId="2" fontId="21" fillId="3" borderId="4" xfId="11" applyNumberFormat="1" applyFont="1" applyFill="1" applyBorder="1" applyAlignment="1" applyProtection="1">
      <alignment horizontal="right" vertical="center"/>
      <protection locked="0"/>
    </xf>
    <xf numFmtId="2" fontId="21" fillId="3" borderId="30" xfId="11" applyNumberFormat="1" applyFont="1" applyFill="1" applyBorder="1" applyAlignment="1" applyProtection="1">
      <alignment horizontal="right" vertical="center"/>
      <protection locked="0"/>
    </xf>
    <xf numFmtId="2" fontId="21" fillId="3" borderId="15" xfId="11" applyNumberFormat="1" applyFont="1" applyFill="1" applyBorder="1" applyAlignment="1" applyProtection="1">
      <alignment horizontal="right" vertical="center"/>
      <protection locked="0"/>
    </xf>
    <xf numFmtId="2" fontId="21" fillId="3" borderId="16" xfId="11" applyNumberFormat="1" applyFont="1" applyFill="1" applyBorder="1" applyAlignment="1" applyProtection="1">
      <alignment horizontal="right" vertical="center"/>
      <protection locked="0"/>
    </xf>
    <xf numFmtId="2" fontId="21" fillId="3" borderId="17" xfId="11" applyNumberFormat="1" applyFont="1" applyFill="1" applyBorder="1" applyAlignment="1" applyProtection="1">
      <alignment horizontal="right" vertical="center"/>
      <protection locked="0"/>
    </xf>
    <xf numFmtId="2" fontId="21" fillId="3" borderId="32" xfId="11" applyNumberFormat="1" applyFont="1" applyFill="1" applyBorder="1" applyAlignment="1" applyProtection="1">
      <alignment horizontal="right" vertical="center"/>
      <protection locked="0"/>
    </xf>
    <xf numFmtId="2" fontId="21" fillId="3" borderId="18" xfId="11" applyNumberFormat="1" applyFont="1" applyFill="1" applyBorder="1" applyAlignment="1" applyProtection="1">
      <alignment horizontal="right" vertical="center"/>
      <protection locked="0"/>
    </xf>
    <xf numFmtId="2" fontId="21" fillId="6" borderId="12" xfId="11" applyNumberFormat="1" applyFont="1" applyFill="1" applyBorder="1" applyAlignment="1" applyProtection="1">
      <alignment horizontal="center" vertical="center"/>
      <protection locked="0"/>
    </xf>
    <xf numFmtId="2" fontId="21" fillId="6" borderId="29" xfId="11" applyNumberFormat="1" applyFont="1" applyFill="1" applyBorder="1" applyAlignment="1" applyProtection="1">
      <alignment horizontal="center" vertical="center"/>
      <protection locked="0"/>
    </xf>
    <xf numFmtId="2" fontId="21" fillId="6" borderId="13" xfId="11" applyNumberFormat="1" applyFont="1" applyFill="1" applyBorder="1" applyAlignment="1" applyProtection="1">
      <alignment horizontal="center" vertical="center"/>
      <protection locked="0"/>
    </xf>
    <xf numFmtId="2" fontId="21" fillId="6" borderId="4" xfId="11" applyNumberFormat="1" applyFont="1" applyFill="1" applyBorder="1" applyAlignment="1" applyProtection="1">
      <alignment horizontal="center" vertical="center"/>
      <protection locked="0"/>
    </xf>
    <xf numFmtId="2" fontId="21" fillId="6" borderId="30" xfId="11" applyNumberFormat="1" applyFont="1" applyFill="1" applyBorder="1" applyAlignment="1" applyProtection="1">
      <alignment horizontal="center" vertical="center"/>
      <protection locked="0"/>
    </xf>
    <xf numFmtId="2" fontId="21" fillId="6" borderId="15" xfId="11" applyNumberFormat="1" applyFont="1" applyFill="1" applyBorder="1" applyAlignment="1" applyProtection="1">
      <alignment horizontal="center" vertical="center"/>
      <protection locked="0"/>
    </xf>
    <xf numFmtId="2" fontId="21" fillId="3" borderId="36" xfId="11" applyNumberFormat="1" applyFont="1" applyFill="1" applyBorder="1" applyAlignment="1" applyProtection="1">
      <alignment horizontal="right" vertical="center"/>
      <protection locked="0"/>
    </xf>
    <xf numFmtId="2" fontId="21" fillId="3" borderId="5" xfId="11" applyNumberFormat="1" applyFont="1" applyFill="1" applyBorder="1" applyAlignment="1" applyProtection="1">
      <alignment horizontal="right" vertical="center"/>
      <protection locked="0"/>
    </xf>
    <xf numFmtId="2" fontId="21" fillId="3" borderId="34" xfId="11" applyNumberFormat="1" applyFont="1" applyFill="1" applyBorder="1" applyAlignment="1" applyProtection="1">
      <alignment horizontal="right" vertical="center"/>
      <protection locked="0"/>
    </xf>
    <xf numFmtId="2" fontId="21" fillId="6" borderId="5" xfId="11" applyNumberFormat="1" applyFont="1" applyFill="1" applyBorder="1" applyAlignment="1" applyProtection="1">
      <alignment horizontal="center" vertical="center"/>
      <protection locked="0"/>
    </xf>
    <xf numFmtId="2" fontId="21" fillId="6" borderId="34" xfId="11" applyNumberFormat="1" applyFont="1" applyFill="1" applyBorder="1" applyAlignment="1" applyProtection="1">
      <alignment horizontal="center" vertical="center"/>
      <protection locked="0"/>
    </xf>
    <xf numFmtId="2" fontId="21" fillId="6" borderId="37" xfId="11" applyNumberFormat="1" applyFont="1" applyFill="1" applyBorder="1" applyAlignment="1" applyProtection="1">
      <alignment horizontal="center" vertical="center"/>
      <protection locked="0"/>
    </xf>
    <xf numFmtId="1" fontId="17" fillId="5" borderId="16" xfId="24" applyNumberFormat="1" applyFont="1" applyFill="1" applyBorder="1"/>
    <xf numFmtId="2" fontId="21" fillId="5" borderId="17" xfId="24" applyNumberFormat="1" applyFont="1" applyFill="1" applyBorder="1"/>
    <xf numFmtId="2" fontId="21" fillId="6" borderId="17" xfId="24" applyNumberFormat="1" applyFont="1" applyFill="1" applyBorder="1" applyAlignment="1">
      <alignment horizontal="center"/>
    </xf>
    <xf numFmtId="2" fontId="21" fillId="6" borderId="18" xfId="24" applyNumberFormat="1" applyFont="1" applyFill="1" applyBorder="1" applyAlignment="1">
      <alignment horizontal="center"/>
    </xf>
    <xf numFmtId="1" fontId="40" fillId="0" borderId="0" xfId="24" applyNumberFormat="1" applyFont="1"/>
    <xf numFmtId="0" fontId="41" fillId="0" borderId="28" xfId="0" applyFont="1" applyBorder="1" applyAlignment="1">
      <alignment vertical="center"/>
    </xf>
    <xf numFmtId="1" fontId="42" fillId="0" borderId="19" xfId="0" applyNumberFormat="1" applyFont="1" applyBorder="1" applyAlignment="1" applyProtection="1">
      <alignment vertical="center"/>
      <protection hidden="1"/>
    </xf>
    <xf numFmtId="2" fontId="21" fillId="4" borderId="14" xfId="11" applyNumberFormat="1" applyFont="1" applyFill="1" applyBorder="1" applyAlignment="1" applyProtection="1">
      <alignment horizontal="right" vertical="center"/>
      <protection locked="0"/>
    </xf>
    <xf numFmtId="2" fontId="21" fillId="4" borderId="4" xfId="11" applyNumberFormat="1" applyFont="1" applyFill="1" applyBorder="1" applyAlignment="1" applyProtection="1">
      <alignment horizontal="right" vertical="center"/>
      <protection locked="0"/>
    </xf>
    <xf numFmtId="1" fontId="33" fillId="0" borderId="0" xfId="15" applyNumberFormat="1" applyFont="1" applyProtection="1">
      <protection hidden="1"/>
    </xf>
    <xf numFmtId="1" fontId="27" fillId="3" borderId="20" xfId="15" applyNumberFormat="1" applyFont="1" applyFill="1" applyBorder="1" applyAlignment="1" applyProtection="1">
      <alignment horizontal="center"/>
      <protection hidden="1"/>
    </xf>
    <xf numFmtId="2" fontId="21" fillId="2" borderId="12" xfId="11" applyNumberFormat="1" applyFont="1" applyFill="1" applyBorder="1" applyAlignment="1" applyProtection="1">
      <alignment horizontal="right" vertical="center"/>
      <protection locked="0"/>
    </xf>
    <xf numFmtId="2" fontId="21" fillId="2" borderId="13" xfId="11" applyNumberFormat="1" applyFont="1" applyFill="1" applyBorder="1" applyAlignment="1" applyProtection="1">
      <alignment horizontal="right" vertical="center"/>
      <protection locked="0"/>
    </xf>
    <xf numFmtId="2" fontId="21" fillId="2" borderId="4" xfId="11" applyNumberFormat="1" applyFont="1" applyFill="1" applyBorder="1" applyAlignment="1" applyProtection="1">
      <alignment horizontal="right" vertical="center"/>
      <protection locked="0"/>
    </xf>
    <xf numFmtId="2" fontId="21" fillId="2" borderId="15" xfId="11" applyNumberFormat="1" applyFont="1" applyFill="1" applyBorder="1" applyAlignment="1" applyProtection="1">
      <alignment horizontal="right" vertical="center"/>
      <protection locked="0"/>
    </xf>
    <xf numFmtId="2" fontId="25" fillId="3" borderId="0" xfId="15" applyNumberFormat="1" applyFont="1" applyFill="1"/>
    <xf numFmtId="2" fontId="25" fillId="0" borderId="0" xfId="15" applyNumberFormat="1" applyFont="1"/>
    <xf numFmtId="1" fontId="33" fillId="0" borderId="0" xfId="21" applyNumberFormat="1" applyFont="1" applyProtection="1">
      <protection hidden="1"/>
    </xf>
    <xf numFmtId="1" fontId="25" fillId="3" borderId="0" xfId="21" applyNumberFormat="1" applyFont="1" applyFill="1" applyProtection="1">
      <protection hidden="1"/>
    </xf>
    <xf numFmtId="1" fontId="27" fillId="3" borderId="0" xfId="21" applyNumberFormat="1" applyFont="1" applyFill="1" applyAlignment="1" applyProtection="1">
      <alignment horizontal="center"/>
      <protection hidden="1"/>
    </xf>
    <xf numFmtId="9" fontId="17" fillId="3" borderId="0" xfId="21" applyNumberFormat="1" applyFont="1" applyFill="1" applyAlignment="1" applyProtection="1">
      <alignment horizontal="center"/>
      <protection hidden="1"/>
    </xf>
    <xf numFmtId="1" fontId="25" fillId="0" borderId="0" xfId="21" applyNumberFormat="1" applyFont="1"/>
    <xf numFmtId="1" fontId="25" fillId="3" borderId="0" xfId="21" applyNumberFormat="1" applyFont="1" applyFill="1"/>
    <xf numFmtId="1" fontId="27" fillId="3" borderId="0" xfId="21" applyNumberFormat="1" applyFont="1" applyFill="1" applyProtection="1">
      <protection hidden="1"/>
    </xf>
    <xf numFmtId="1" fontId="21" fillId="3" borderId="11" xfId="11" applyNumberFormat="1" applyFont="1" applyFill="1" applyBorder="1" applyAlignment="1" applyProtection="1">
      <alignment horizontal="right" vertical="center"/>
      <protection locked="0"/>
    </xf>
    <xf numFmtId="1" fontId="21" fillId="3" borderId="12" xfId="11" applyNumberFormat="1" applyFont="1" applyFill="1" applyBorder="1" applyAlignment="1" applyProtection="1">
      <alignment horizontal="right" vertical="center"/>
      <protection locked="0"/>
    </xf>
    <xf numFmtId="1" fontId="21" fillId="3" borderId="29" xfId="11" applyNumberFormat="1" applyFont="1" applyFill="1" applyBorder="1" applyAlignment="1" applyProtection="1">
      <alignment horizontal="right" vertical="center"/>
      <protection locked="0"/>
    </xf>
    <xf numFmtId="1" fontId="21" fillId="3" borderId="14" xfId="11" applyNumberFormat="1" applyFont="1" applyFill="1" applyBorder="1" applyAlignment="1" applyProtection="1">
      <alignment horizontal="right" vertical="center"/>
      <protection locked="0"/>
    </xf>
    <xf numFmtId="1" fontId="21" fillId="3" borderId="4" xfId="11" applyNumberFormat="1" applyFont="1" applyFill="1" applyBorder="1" applyAlignment="1" applyProtection="1">
      <alignment horizontal="right" vertical="center"/>
      <protection locked="0"/>
    </xf>
    <xf numFmtId="1" fontId="21" fillId="3" borderId="30" xfId="11" applyNumberFormat="1" applyFont="1" applyFill="1" applyBorder="1" applyAlignment="1" applyProtection="1">
      <alignment horizontal="right" vertical="center"/>
      <protection locked="0"/>
    </xf>
    <xf numFmtId="1" fontId="21" fillId="3" borderId="16" xfId="11" applyNumberFormat="1" applyFont="1" applyFill="1" applyBorder="1" applyAlignment="1" applyProtection="1">
      <alignment horizontal="right" vertical="center"/>
      <protection locked="0"/>
    </xf>
    <xf numFmtId="1" fontId="21" fillId="3" borderId="17" xfId="11" applyNumberFormat="1" applyFont="1" applyFill="1" applyBorder="1" applyAlignment="1" applyProtection="1">
      <alignment horizontal="right" vertical="center"/>
      <protection locked="0"/>
    </xf>
    <xf numFmtId="1" fontId="21" fillId="3" borderId="32" xfId="11" applyNumberFormat="1" applyFont="1" applyFill="1" applyBorder="1" applyAlignment="1" applyProtection="1">
      <alignment horizontal="right" vertical="center"/>
      <protection locked="0"/>
    </xf>
    <xf numFmtId="1" fontId="21" fillId="3" borderId="11" xfId="25" applyNumberFormat="1" applyFont="1" applyFill="1" applyBorder="1" applyAlignment="1" applyProtection="1">
      <alignment vertical="center"/>
      <protection hidden="1"/>
    </xf>
    <xf numFmtId="1" fontId="21" fillId="3" borderId="13" xfId="11" applyNumberFormat="1" applyFont="1" applyFill="1" applyBorder="1" applyAlignment="1" applyProtection="1">
      <alignment horizontal="right" vertical="center"/>
      <protection locked="0"/>
    </xf>
    <xf numFmtId="1" fontId="21" fillId="4" borderId="38" xfId="11" applyNumberFormat="1" applyFont="1" applyFill="1" applyBorder="1" applyAlignment="1" applyProtection="1">
      <alignment horizontal="right" vertical="center"/>
      <protection locked="0"/>
    </xf>
    <xf numFmtId="1" fontId="21" fillId="4" borderId="30" xfId="11" applyNumberFormat="1" applyFont="1" applyFill="1" applyBorder="1" applyAlignment="1" applyProtection="1">
      <alignment horizontal="right" vertical="center"/>
      <protection locked="0"/>
    </xf>
    <xf numFmtId="1" fontId="21" fillId="4" borderId="15" xfId="11" applyNumberFormat="1" applyFont="1" applyFill="1" applyBorder="1" applyAlignment="1" applyProtection="1">
      <alignment horizontal="right" vertical="center"/>
      <protection locked="0"/>
    </xf>
    <xf numFmtId="1" fontId="21" fillId="3" borderId="14" xfId="25" applyNumberFormat="1" applyFont="1" applyFill="1" applyBorder="1" applyAlignment="1" applyProtection="1">
      <alignment vertical="center"/>
      <protection hidden="1"/>
    </xf>
    <xf numFmtId="1" fontId="21" fillId="3" borderId="15" xfId="11" applyNumberFormat="1" applyFont="1" applyFill="1" applyBorder="1" applyAlignment="1" applyProtection="1">
      <alignment horizontal="right" vertical="center"/>
      <protection locked="0"/>
    </xf>
    <xf numFmtId="1" fontId="21" fillId="3" borderId="16" xfId="25" applyNumberFormat="1" applyFont="1" applyFill="1" applyBorder="1" applyAlignment="1" applyProtection="1">
      <alignment vertical="center"/>
      <protection hidden="1"/>
    </xf>
    <xf numFmtId="1" fontId="21" fillId="3" borderId="18" xfId="11" applyNumberFormat="1" applyFont="1" applyFill="1" applyBorder="1" applyAlignment="1" applyProtection="1">
      <alignment horizontal="right" vertical="center"/>
      <protection locked="0"/>
    </xf>
    <xf numFmtId="1" fontId="21" fillId="4" borderId="39" xfId="11" applyNumberFormat="1" applyFont="1" applyFill="1" applyBorder="1" applyAlignment="1" applyProtection="1">
      <alignment horizontal="right" vertical="center"/>
      <protection locked="0"/>
    </xf>
    <xf numFmtId="1" fontId="21" fillId="4" borderId="32" xfId="11" applyNumberFormat="1" applyFont="1" applyFill="1" applyBorder="1" applyAlignment="1" applyProtection="1">
      <alignment horizontal="right" vertical="center"/>
      <protection locked="0"/>
    </xf>
    <xf numFmtId="1" fontId="21" fillId="4" borderId="18" xfId="11" applyNumberFormat="1" applyFont="1" applyFill="1" applyBorder="1" applyAlignment="1" applyProtection="1">
      <alignment horizontal="right" vertical="center"/>
      <protection locked="0"/>
    </xf>
    <xf numFmtId="9" fontId="25" fillId="3" borderId="0" xfId="25" applyNumberFormat="1" applyFont="1" applyFill="1"/>
    <xf numFmtId="1" fontId="18" fillId="3" borderId="16" xfId="25" applyNumberFormat="1" applyFont="1" applyFill="1" applyBorder="1" applyAlignment="1" applyProtection="1">
      <alignment vertical="center"/>
      <protection hidden="1"/>
    </xf>
    <xf numFmtId="9" fontId="25" fillId="0" borderId="0" xfId="25" applyNumberFormat="1" applyFont="1"/>
    <xf numFmtId="1" fontId="21" fillId="0" borderId="11" xfId="25" applyNumberFormat="1" applyFont="1" applyBorder="1" applyAlignment="1" applyProtection="1">
      <alignment vertical="center"/>
      <protection hidden="1"/>
    </xf>
    <xf numFmtId="1" fontId="21" fillId="0" borderId="14" xfId="25" applyNumberFormat="1" applyFont="1" applyBorder="1" applyAlignment="1" applyProtection="1">
      <alignment vertical="center"/>
      <protection hidden="1"/>
    </xf>
    <xf numFmtId="1" fontId="21" fillId="0" borderId="16" xfId="25" applyNumberFormat="1" applyFont="1" applyBorder="1" applyAlignment="1" applyProtection="1">
      <alignment vertical="center"/>
      <protection hidden="1"/>
    </xf>
    <xf numFmtId="0" fontId="15" fillId="0" borderId="0" xfId="0" applyFont="1"/>
    <xf numFmtId="1" fontId="18" fillId="5" borderId="4" xfId="0" applyNumberFormat="1" applyFont="1" applyFill="1" applyBorder="1" applyAlignment="1" applyProtection="1">
      <alignment horizontal="right" vertical="center"/>
      <protection hidden="1"/>
    </xf>
    <xf numFmtId="1" fontId="43" fillId="5" borderId="4" xfId="0" applyNumberFormat="1" applyFont="1" applyFill="1" applyBorder="1" applyAlignment="1" applyProtection="1">
      <alignment horizontal="right" vertical="center"/>
      <protection hidden="1"/>
    </xf>
    <xf numFmtId="1" fontId="30" fillId="5" borderId="4" xfId="11" applyNumberFormat="1" applyFont="1" applyFill="1" applyBorder="1" applyAlignment="1" applyProtection="1">
      <alignment horizontal="right" vertical="center"/>
      <protection locked="0"/>
    </xf>
    <xf numFmtId="0" fontId="44" fillId="2" borderId="0" xfId="0" applyFont="1" applyFill="1"/>
    <xf numFmtId="0" fontId="15" fillId="2" borderId="0" xfId="0" applyFont="1" applyFill="1"/>
    <xf numFmtId="0" fontId="15" fillId="3" borderId="0" xfId="0" applyFont="1" applyFill="1"/>
    <xf numFmtId="0" fontId="0" fillId="2" borderId="0" xfId="0" applyFill="1"/>
    <xf numFmtId="0" fontId="0" fillId="3" borderId="0" xfId="0" applyFill="1"/>
    <xf numFmtId="1" fontId="21" fillId="0" borderId="30" xfId="11" applyNumberFormat="1" applyFont="1" applyBorder="1" applyAlignment="1" applyProtection="1">
      <alignment horizontal="right" vertical="center"/>
      <protection locked="0"/>
    </xf>
    <xf numFmtId="1" fontId="21" fillId="0" borderId="15" xfId="11" applyNumberFormat="1" applyFont="1" applyBorder="1" applyAlignment="1" applyProtection="1">
      <alignment horizontal="right" vertical="center"/>
      <protection locked="0"/>
    </xf>
    <xf numFmtId="1" fontId="21" fillId="0" borderId="38" xfId="11" applyNumberFormat="1" applyFont="1" applyBorder="1" applyAlignment="1" applyProtection="1">
      <alignment horizontal="right" vertical="center"/>
      <protection locked="0"/>
    </xf>
    <xf numFmtId="1" fontId="21" fillId="0" borderId="32" xfId="11" applyNumberFormat="1" applyFont="1" applyBorder="1" applyAlignment="1" applyProtection="1">
      <alignment horizontal="right" vertical="center"/>
      <protection locked="0"/>
    </xf>
    <xf numFmtId="1" fontId="21" fillId="0" borderId="18" xfId="11" applyNumberFormat="1" applyFont="1" applyBorder="1" applyAlignment="1" applyProtection="1">
      <alignment horizontal="right" vertical="center"/>
      <protection locked="0"/>
    </xf>
    <xf numFmtId="1" fontId="21" fillId="0" borderId="39" xfId="11" applyNumberFormat="1" applyFont="1" applyBorder="1" applyAlignment="1" applyProtection="1">
      <alignment horizontal="right" vertical="center"/>
      <protection locked="0"/>
    </xf>
    <xf numFmtId="1" fontId="18" fillId="3" borderId="21" xfId="0" applyNumberFormat="1" applyFont="1" applyFill="1" applyBorder="1" applyAlignment="1" applyProtection="1">
      <alignment horizontal="right" vertical="center"/>
      <protection hidden="1"/>
    </xf>
    <xf numFmtId="1" fontId="18" fillId="3" borderId="7" xfId="0" applyNumberFormat="1" applyFont="1" applyFill="1" applyBorder="1" applyAlignment="1" applyProtection="1">
      <alignment vertical="center"/>
      <protection hidden="1"/>
    </xf>
    <xf numFmtId="1" fontId="18" fillId="3" borderId="22" xfId="0" applyNumberFormat="1" applyFont="1" applyFill="1" applyBorder="1" applyAlignment="1" applyProtection="1">
      <alignment vertical="center"/>
      <protection locked="0"/>
    </xf>
    <xf numFmtId="1" fontId="31" fillId="3" borderId="0" xfId="0" applyNumberFormat="1" applyFont="1" applyFill="1" applyAlignment="1" applyProtection="1">
      <alignment vertical="center"/>
      <protection locked="0"/>
    </xf>
    <xf numFmtId="0" fontId="46" fillId="0" borderId="0" xfId="1" applyFont="1"/>
    <xf numFmtId="0" fontId="47" fillId="0" borderId="0" xfId="1" applyFont="1"/>
    <xf numFmtId="0" fontId="47" fillId="0" borderId="0" xfId="1" applyFont="1" applyAlignment="1">
      <alignment horizontal="center"/>
    </xf>
    <xf numFmtId="0" fontId="48" fillId="3" borderId="1" xfId="1" applyFont="1" applyFill="1" applyBorder="1"/>
    <xf numFmtId="164" fontId="47" fillId="0" borderId="0" xfId="1" applyNumberFormat="1" applyFont="1"/>
    <xf numFmtId="0" fontId="50" fillId="3" borderId="1" xfId="1" applyFont="1" applyFill="1" applyBorder="1"/>
    <xf numFmtId="0" fontId="48" fillId="3" borderId="0" xfId="1" applyFont="1" applyFill="1" applyAlignment="1">
      <alignment horizontal="center" vertical="center"/>
    </xf>
    <xf numFmtId="0" fontId="48" fillId="3" borderId="0" xfId="1" applyFont="1" applyFill="1"/>
    <xf numFmtId="0" fontId="48" fillId="3" borderId="0" xfId="1" applyFont="1" applyFill="1" applyAlignment="1">
      <alignment horizontal="center"/>
    </xf>
    <xf numFmtId="164" fontId="48" fillId="3" borderId="0" xfId="33" applyNumberFormat="1" applyFont="1" applyFill="1" applyBorder="1" applyAlignment="1">
      <alignment horizontal="center"/>
    </xf>
    <xf numFmtId="0" fontId="49" fillId="8" borderId="2" xfId="1" applyFont="1" applyFill="1" applyBorder="1" applyAlignment="1">
      <alignment horizontal="center"/>
    </xf>
    <xf numFmtId="0" fontId="49" fillId="8" borderId="3" xfId="1" applyFont="1" applyFill="1" applyBorder="1" applyAlignment="1">
      <alignment horizontal="center"/>
    </xf>
    <xf numFmtId="0" fontId="51" fillId="0" borderId="0" xfId="1" applyFont="1"/>
    <xf numFmtId="164" fontId="48" fillId="3" borderId="0" xfId="33" quotePrefix="1" applyNumberFormat="1" applyFont="1" applyFill="1" applyBorder="1" applyAlignment="1">
      <alignment horizontal="center"/>
    </xf>
    <xf numFmtId="0" fontId="50" fillId="3" borderId="1" xfId="1" applyFont="1" applyFill="1" applyBorder="1" applyAlignment="1">
      <alignment horizontal="right"/>
    </xf>
    <xf numFmtId="0" fontId="48" fillId="3" borderId="1" xfId="1" applyFont="1" applyFill="1" applyBorder="1" applyAlignment="1">
      <alignment horizontal="right"/>
    </xf>
    <xf numFmtId="0" fontId="48" fillId="0" borderId="0" xfId="1" applyFont="1"/>
    <xf numFmtId="0" fontId="48" fillId="0" borderId="0" xfId="1" applyFont="1" applyAlignment="1">
      <alignment horizontal="center"/>
    </xf>
    <xf numFmtId="0" fontId="52" fillId="3" borderId="1" xfId="1" applyFont="1" applyFill="1" applyBorder="1" applyAlignment="1">
      <alignment horizontal="right"/>
    </xf>
    <xf numFmtId="0" fontId="48" fillId="3" borderId="41" xfId="1" applyFont="1" applyFill="1" applyBorder="1"/>
    <xf numFmtId="0" fontId="48" fillId="3" borderId="42" xfId="1" applyFont="1" applyFill="1" applyBorder="1"/>
    <xf numFmtId="0" fontId="48" fillId="3" borderId="0" xfId="0" applyFont="1" applyFill="1"/>
    <xf numFmtId="0" fontId="48" fillId="3" borderId="0" xfId="0" applyFont="1" applyFill="1" applyAlignment="1">
      <alignment horizontal="right"/>
    </xf>
    <xf numFmtId="164" fontId="48" fillId="3" borderId="0" xfId="33" applyNumberFormat="1" applyFont="1" applyFill="1" applyBorder="1"/>
    <xf numFmtId="0" fontId="48" fillId="7" borderId="0" xfId="0" applyFont="1" applyFill="1"/>
    <xf numFmtId="0" fontId="48" fillId="7" borderId="0" xfId="0" applyFont="1" applyFill="1" applyAlignment="1">
      <alignment horizontal="right"/>
    </xf>
    <xf numFmtId="164" fontId="48" fillId="3" borderId="41" xfId="1" applyNumberFormat="1" applyFont="1" applyFill="1" applyBorder="1"/>
    <xf numFmtId="0" fontId="48" fillId="3" borderId="47" xfId="1" applyFont="1" applyFill="1" applyBorder="1"/>
    <xf numFmtId="164" fontId="48" fillId="3" borderId="47" xfId="33" applyNumberFormat="1" applyFont="1" applyFill="1" applyBorder="1" applyAlignment="1">
      <alignment horizontal="center"/>
    </xf>
    <xf numFmtId="0" fontId="48" fillId="3" borderId="48" xfId="1" applyFont="1" applyFill="1" applyBorder="1"/>
    <xf numFmtId="0" fontId="49" fillId="8" borderId="45" xfId="1" applyFont="1" applyFill="1" applyBorder="1" applyAlignment="1">
      <alignment horizontal="center" vertical="center"/>
    </xf>
    <xf numFmtId="0" fontId="49" fillId="8" borderId="46" xfId="1" applyFont="1" applyFill="1" applyBorder="1" applyAlignment="1">
      <alignment horizontal="center" vertical="center"/>
    </xf>
    <xf numFmtId="0" fontId="50" fillId="3" borderId="0" xfId="1" applyFont="1" applyFill="1"/>
    <xf numFmtId="0" fontId="48" fillId="3" borderId="0" xfId="1" applyFont="1" applyFill="1" applyAlignment="1">
      <alignment horizontal="right"/>
    </xf>
    <xf numFmtId="0" fontId="48" fillId="3" borderId="47" xfId="1" applyFont="1" applyFill="1" applyBorder="1" applyAlignment="1">
      <alignment horizontal="right"/>
    </xf>
    <xf numFmtId="164" fontId="54" fillId="9" borderId="0" xfId="33" applyNumberFormat="1" applyFont="1" applyFill="1" applyBorder="1" applyAlignment="1">
      <alignment horizontal="center"/>
    </xf>
    <xf numFmtId="9" fontId="48" fillId="7" borderId="0" xfId="34" applyFont="1" applyFill="1" applyBorder="1"/>
    <xf numFmtId="9" fontId="47" fillId="0" borderId="0" xfId="34" applyFont="1"/>
    <xf numFmtId="164" fontId="55" fillId="3" borderId="0" xfId="33" applyNumberFormat="1" applyFont="1" applyFill="1" applyBorder="1"/>
    <xf numFmtId="0" fontId="56" fillId="0" borderId="0" xfId="1" applyFont="1"/>
    <xf numFmtId="164" fontId="56" fillId="0" borderId="0" xfId="1" applyNumberFormat="1" applyFont="1"/>
    <xf numFmtId="164" fontId="47" fillId="0" borderId="0" xfId="33" applyNumberFormat="1" applyFont="1"/>
    <xf numFmtId="0" fontId="55" fillId="0" borderId="0" xfId="1" applyFont="1"/>
    <xf numFmtId="0" fontId="55" fillId="3" borderId="41" xfId="1" applyFont="1" applyFill="1" applyBorder="1"/>
    <xf numFmtId="43" fontId="47" fillId="0" borderId="0" xfId="1" applyNumberFormat="1" applyFont="1"/>
    <xf numFmtId="164" fontId="55" fillId="0" borderId="0" xfId="33" applyNumberFormat="1" applyFont="1"/>
    <xf numFmtId="43" fontId="48" fillId="3" borderId="41" xfId="1" applyNumberFormat="1" applyFont="1" applyFill="1" applyBorder="1"/>
    <xf numFmtId="43" fontId="48" fillId="3" borderId="41" xfId="33" applyFont="1" applyFill="1" applyBorder="1"/>
    <xf numFmtId="164" fontId="56" fillId="0" borderId="0" xfId="33" applyNumberFormat="1" applyFont="1"/>
    <xf numFmtId="0" fontId="47" fillId="0" borderId="0" xfId="1" applyFont="1" applyAlignment="1">
      <alignment horizontal="right"/>
    </xf>
    <xf numFmtId="0" fontId="56" fillId="0" borderId="0" xfId="1" applyFont="1" applyAlignment="1">
      <alignment horizontal="right"/>
    </xf>
    <xf numFmtId="9" fontId="47" fillId="0" borderId="0" xfId="1" applyNumberFormat="1" applyFont="1" applyAlignment="1">
      <alignment horizontal="right"/>
    </xf>
    <xf numFmtId="0" fontId="56" fillId="0" borderId="0" xfId="1" applyFont="1" applyAlignment="1">
      <alignment horizontal="center"/>
    </xf>
    <xf numFmtId="1" fontId="47" fillId="0" borderId="0" xfId="1" applyNumberFormat="1" applyFont="1"/>
    <xf numFmtId="164" fontId="55" fillId="3" borderId="0" xfId="33" applyNumberFormat="1" applyFont="1" applyFill="1" applyBorder="1" applyAlignment="1">
      <alignment horizontal="center"/>
    </xf>
    <xf numFmtId="164" fontId="55" fillId="3" borderId="0" xfId="33" applyNumberFormat="1" applyFont="1" applyFill="1" applyBorder="1" applyAlignment="1">
      <alignment horizontal="left"/>
    </xf>
    <xf numFmtId="0" fontId="55" fillId="3" borderId="0" xfId="1" applyFont="1" applyFill="1" applyAlignment="1">
      <alignment horizontal="right"/>
    </xf>
    <xf numFmtId="0" fontId="55" fillId="3" borderId="0" xfId="1" applyFont="1" applyFill="1" applyAlignment="1">
      <alignment horizontal="left"/>
    </xf>
    <xf numFmtId="9" fontId="55" fillId="3" borderId="0" xfId="34" applyFont="1" applyFill="1" applyBorder="1" applyAlignment="1">
      <alignment horizontal="right"/>
    </xf>
    <xf numFmtId="43" fontId="47" fillId="0" borderId="0" xfId="1" applyNumberFormat="1" applyFont="1" applyAlignment="1">
      <alignment horizontal="center"/>
    </xf>
    <xf numFmtId="0" fontId="55" fillId="3" borderId="0" xfId="1" applyFont="1" applyFill="1"/>
    <xf numFmtId="0" fontId="49" fillId="8" borderId="43" xfId="1" applyFont="1" applyFill="1" applyBorder="1" applyAlignment="1">
      <alignment horizontal="center"/>
    </xf>
    <xf numFmtId="0" fontId="55" fillId="3" borderId="0" xfId="0" applyFont="1" applyFill="1" applyAlignment="1">
      <alignment horizontal="right"/>
    </xf>
    <xf numFmtId="9" fontId="55" fillId="3" borderId="0" xfId="34" applyFont="1" applyFill="1" applyBorder="1"/>
    <xf numFmtId="0" fontId="55" fillId="3" borderId="0" xfId="0" applyFont="1" applyFill="1"/>
    <xf numFmtId="0" fontId="57" fillId="0" borderId="0" xfId="1" applyFont="1"/>
    <xf numFmtId="0" fontId="58" fillId="3" borderId="0" xfId="1" applyFont="1" applyFill="1"/>
    <xf numFmtId="164" fontId="55" fillId="3" borderId="0" xfId="33" quotePrefix="1" applyNumberFormat="1" applyFont="1" applyFill="1" applyBorder="1" applyAlignment="1">
      <alignment horizontal="center"/>
    </xf>
    <xf numFmtId="164" fontId="0" fillId="0" borderId="0" xfId="33" applyNumberFormat="1" applyFont="1"/>
    <xf numFmtId="164" fontId="0" fillId="0" borderId="0" xfId="0" applyNumberFormat="1"/>
    <xf numFmtId="164" fontId="48" fillId="3" borderId="40" xfId="33" applyNumberFormat="1" applyFont="1" applyFill="1" applyBorder="1" applyAlignment="1">
      <alignment horizontal="center"/>
    </xf>
    <xf numFmtId="0" fontId="49" fillId="8" borderId="43" xfId="1" applyFont="1" applyFill="1" applyBorder="1" applyAlignment="1">
      <alignment horizontal="center" vertical="center"/>
    </xf>
    <xf numFmtId="0" fontId="49" fillId="8" borderId="44" xfId="1" applyFont="1" applyFill="1" applyBorder="1" applyAlignment="1">
      <alignment horizontal="center" vertical="center"/>
    </xf>
    <xf numFmtId="0" fontId="49" fillId="8" borderId="45" xfId="1" applyFont="1" applyFill="1" applyBorder="1" applyAlignment="1">
      <alignment horizontal="center" vertical="center"/>
    </xf>
    <xf numFmtId="0" fontId="49" fillId="8" borderId="46" xfId="1" applyFont="1" applyFill="1" applyBorder="1" applyAlignment="1">
      <alignment horizontal="center" vertical="center"/>
    </xf>
    <xf numFmtId="0" fontId="49" fillId="8" borderId="43" xfId="1" applyFont="1" applyFill="1" applyBorder="1" applyAlignment="1">
      <alignment horizontal="center"/>
    </xf>
    <xf numFmtId="0" fontId="49" fillId="8" borderId="49" xfId="1" applyFont="1" applyFill="1" applyBorder="1" applyAlignment="1">
      <alignment horizontal="center"/>
    </xf>
    <xf numFmtId="0" fontId="49" fillId="8" borderId="44" xfId="1" applyFont="1" applyFill="1" applyBorder="1" applyAlignment="1">
      <alignment horizontal="center"/>
    </xf>
    <xf numFmtId="0" fontId="49" fillId="8" borderId="50" xfId="1" applyFont="1" applyFill="1" applyBorder="1" applyAlignment="1">
      <alignment horizontal="center" vertical="center"/>
    </xf>
    <xf numFmtId="0" fontId="49" fillId="8" borderId="51" xfId="1" applyFont="1" applyFill="1" applyBorder="1" applyAlignment="1">
      <alignment horizontal="center" vertical="center"/>
    </xf>
    <xf numFmtId="0" fontId="48" fillId="3" borderId="4" xfId="1" applyFont="1" applyFill="1" applyBorder="1" applyAlignment="1">
      <alignment horizontal="center" vertical="center"/>
    </xf>
    <xf numFmtId="0" fontId="48" fillId="3" borderId="4" xfId="1" applyFont="1" applyFill="1" applyBorder="1"/>
    <xf numFmtId="0" fontId="48" fillId="3" borderId="4" xfId="1" applyFont="1" applyFill="1" applyBorder="1" applyAlignment="1">
      <alignment horizontal="center"/>
    </xf>
    <xf numFmtId="164" fontId="48" fillId="3" borderId="4" xfId="33" applyNumberFormat="1" applyFont="1" applyFill="1" applyBorder="1" applyAlignment="1">
      <alignment horizontal="center"/>
    </xf>
    <xf numFmtId="0" fontId="55" fillId="3" borderId="4" xfId="1" applyFont="1" applyFill="1" applyBorder="1"/>
    <xf numFmtId="0" fontId="55" fillId="3" borderId="4" xfId="1" applyFont="1" applyFill="1" applyBorder="1" applyAlignment="1">
      <alignment horizontal="center"/>
    </xf>
    <xf numFmtId="164" fontId="55" fillId="3" borderId="4" xfId="33" applyNumberFormat="1" applyFont="1" applyFill="1" applyBorder="1" applyAlignment="1">
      <alignment horizontal="center"/>
    </xf>
    <xf numFmtId="0" fontId="48" fillId="3" borderId="5" xfId="1" applyFont="1" applyFill="1" applyBorder="1" applyAlignment="1">
      <alignment horizontal="center" vertical="center"/>
    </xf>
    <xf numFmtId="0" fontId="48" fillId="3" borderId="52" xfId="1" applyFont="1" applyFill="1" applyBorder="1" applyAlignment="1">
      <alignment horizontal="center" vertical="center"/>
    </xf>
    <xf numFmtId="0" fontId="48" fillId="3" borderId="53" xfId="1" applyFont="1" applyFill="1" applyBorder="1" applyAlignment="1">
      <alignment horizontal="center" vertical="center"/>
    </xf>
    <xf numFmtId="0" fontId="48" fillId="3" borderId="4" xfId="0" applyFont="1" applyFill="1" applyBorder="1"/>
    <xf numFmtId="0" fontId="48" fillId="3" borderId="4" xfId="0" applyFont="1" applyFill="1" applyBorder="1" applyAlignment="1">
      <alignment horizontal="right"/>
    </xf>
    <xf numFmtId="0" fontId="48" fillId="3" borderId="54" xfId="0" applyFont="1" applyFill="1" applyBorder="1" applyAlignment="1">
      <alignment horizontal="right"/>
    </xf>
    <xf numFmtId="0" fontId="55" fillId="3" borderId="54" xfId="0" applyFont="1" applyFill="1" applyBorder="1" applyAlignment="1">
      <alignment horizontal="right"/>
    </xf>
    <xf numFmtId="0" fontId="48" fillId="3" borderId="30" xfId="0" applyFont="1" applyFill="1" applyBorder="1"/>
    <xf numFmtId="0" fontId="55" fillId="3" borderId="30" xfId="0" applyFont="1" applyFill="1" applyBorder="1"/>
    <xf numFmtId="0" fontId="48" fillId="3" borderId="54" xfId="0" applyFont="1" applyFill="1" applyBorder="1"/>
    <xf numFmtId="0" fontId="55" fillId="3" borderId="54" xfId="0" applyFont="1" applyFill="1" applyBorder="1"/>
    <xf numFmtId="164" fontId="48" fillId="3" borderId="30" xfId="33" applyNumberFormat="1" applyFont="1" applyFill="1" applyBorder="1"/>
    <xf numFmtId="164" fontId="55" fillId="3" borderId="30" xfId="33" applyNumberFormat="1" applyFont="1" applyFill="1" applyBorder="1"/>
    <xf numFmtId="0" fontId="49" fillId="8" borderId="0" xfId="0" applyFont="1" applyFill="1" applyBorder="1" applyAlignment="1">
      <alignment horizontal="center"/>
    </xf>
    <xf numFmtId="0" fontId="47" fillId="3" borderId="0" xfId="1" applyFont="1" applyFill="1"/>
    <xf numFmtId="0" fontId="47" fillId="3" borderId="0" xfId="1" applyFont="1" applyFill="1" applyAlignment="1">
      <alignment horizontal="right"/>
    </xf>
    <xf numFmtId="164" fontId="47" fillId="3" borderId="0" xfId="33" applyNumberFormat="1" applyFont="1" applyFill="1" applyBorder="1" applyAlignment="1">
      <alignment horizontal="center"/>
    </xf>
    <xf numFmtId="164" fontId="47" fillId="3" borderId="0" xfId="33" applyNumberFormat="1" applyFont="1" applyFill="1" applyBorder="1" applyAlignment="1">
      <alignment horizontal="left"/>
    </xf>
    <xf numFmtId="0" fontId="47" fillId="3" borderId="0" xfId="1" applyFont="1" applyFill="1" applyAlignment="1">
      <alignment horizontal="left"/>
    </xf>
    <xf numFmtId="0" fontId="59" fillId="3" borderId="1" xfId="1" applyFont="1" applyFill="1" applyBorder="1" applyAlignment="1">
      <alignment horizontal="right"/>
    </xf>
    <xf numFmtId="164" fontId="48" fillId="3" borderId="0" xfId="35" quotePrefix="1" applyNumberFormat="1" applyFont="1" applyFill="1" applyBorder="1" applyAlignment="1">
      <alignment horizontal="center"/>
    </xf>
    <xf numFmtId="164" fontId="48" fillId="3" borderId="0" xfId="35" applyNumberFormat="1" applyFont="1" applyFill="1" applyBorder="1" applyAlignment="1">
      <alignment horizontal="center"/>
    </xf>
    <xf numFmtId="164" fontId="55" fillId="3" borderId="0" xfId="35" applyNumberFormat="1" applyFont="1" applyFill="1" applyBorder="1" applyAlignment="1">
      <alignment horizontal="center"/>
    </xf>
    <xf numFmtId="164" fontId="55" fillId="3" borderId="0" xfId="35" quotePrefix="1" applyNumberFormat="1" applyFont="1" applyFill="1" applyBorder="1" applyAlignment="1">
      <alignment horizontal="center"/>
    </xf>
    <xf numFmtId="0" fontId="55" fillId="3" borderId="47" xfId="1" applyFont="1" applyFill="1" applyBorder="1"/>
    <xf numFmtId="0" fontId="55" fillId="3" borderId="47" xfId="1" applyFont="1" applyFill="1" applyBorder="1" applyAlignment="1">
      <alignment horizontal="right"/>
    </xf>
    <xf numFmtId="164" fontId="55" fillId="3" borderId="47" xfId="35" applyNumberFormat="1" applyFont="1" applyFill="1" applyBorder="1" applyAlignment="1">
      <alignment horizontal="center"/>
    </xf>
    <xf numFmtId="9" fontId="55" fillId="3" borderId="0" xfId="36" applyFont="1" applyFill="1" applyBorder="1" applyAlignment="1">
      <alignment horizontal="right"/>
    </xf>
    <xf numFmtId="0" fontId="55" fillId="3" borderId="0" xfId="4" applyFont="1" applyFill="1" applyAlignment="1">
      <alignment horizontal="right"/>
    </xf>
    <xf numFmtId="0" fontId="55" fillId="3" borderId="0" xfId="4" applyFont="1" applyFill="1"/>
    <xf numFmtId="0" fontId="60" fillId="3" borderId="0" xfId="1" applyFont="1" applyFill="1"/>
  </cellXfs>
  <cellStyles count="37">
    <cellStyle name="Comma" xfId="33" builtinId="3"/>
    <cellStyle name="Comma 2" xfId="2" xr:uid="{00000000-0005-0000-0000-000000000000}"/>
    <cellStyle name="Comma 3" xfId="30" xr:uid="{00000000-0005-0000-0000-000001000000}"/>
    <cellStyle name="Comma 4" xfId="35" xr:uid="{6A64116A-AB10-451F-9B42-5FE402891D4E}"/>
    <cellStyle name="Currency 2" xfId="12" xr:uid="{00000000-0005-0000-0000-000003000000}"/>
    <cellStyle name="Currency 3" xfId="14" xr:uid="{00000000-0005-0000-0000-000004000000}"/>
    <cellStyle name="Currency 4" xfId="16" xr:uid="{00000000-0005-0000-0000-000005000000}"/>
    <cellStyle name="Currency 5" xfId="18" xr:uid="{00000000-0005-0000-0000-000006000000}"/>
    <cellStyle name="Currency 6" xfId="20" xr:uid="{00000000-0005-0000-0000-000007000000}"/>
    <cellStyle name="Currency 7" xfId="23" xr:uid="{00000000-0005-0000-0000-000008000000}"/>
    <cellStyle name="Currency 8" xfId="26" xr:uid="{00000000-0005-0000-0000-000009000000}"/>
    <cellStyle name="Currency 9" xfId="31" xr:uid="{00000000-0005-0000-0000-00000A000000}"/>
    <cellStyle name="Currency_AMART WHOLESALE &amp; RETAIL 23 April 2000 - Timber" xfId="11" xr:uid="{00000000-0005-0000-0000-00000B000000}"/>
    <cellStyle name="Normal" xfId="0" builtinId="0"/>
    <cellStyle name="Normal 10" xfId="25" xr:uid="{00000000-0005-0000-0000-00000D000000}"/>
    <cellStyle name="Normal 11" xfId="28" xr:uid="{00000000-0005-0000-0000-00000E000000}"/>
    <cellStyle name="Normal 12" xfId="32" xr:uid="{D17B813E-0266-4404-A5DC-1B227BFA76FE}"/>
    <cellStyle name="Normal 2" xfId="3" xr:uid="{00000000-0005-0000-0000-00000F000000}"/>
    <cellStyle name="Normal 2 2" xfId="4" xr:uid="{00000000-0005-0000-0000-000010000000}"/>
    <cellStyle name="Normal 2 2 2" xfId="5" xr:uid="{00000000-0005-0000-0000-000011000000}"/>
    <cellStyle name="Normal 2 2 3" xfId="6" xr:uid="{00000000-0005-0000-0000-000012000000}"/>
    <cellStyle name="Normal 2 2 4" xfId="7" xr:uid="{00000000-0005-0000-0000-000013000000}"/>
    <cellStyle name="Normal 2 3" xfId="8" xr:uid="{00000000-0005-0000-0000-000014000000}"/>
    <cellStyle name="Normal 2 4" xfId="9" xr:uid="{00000000-0005-0000-0000-000015000000}"/>
    <cellStyle name="Normal 2 5" xfId="24" xr:uid="{00000000-0005-0000-0000-000016000000}"/>
    <cellStyle name="Normal 3" xfId="1" xr:uid="{00000000-0005-0000-0000-000017000000}"/>
    <cellStyle name="Normal 4" xfId="10" xr:uid="{00000000-0005-0000-0000-000018000000}"/>
    <cellStyle name="Normal 4 2" xfId="22" xr:uid="{00000000-0005-0000-0000-000019000000}"/>
    <cellStyle name="Normal 4 3" xfId="27" xr:uid="{00000000-0005-0000-0000-00001A000000}"/>
    <cellStyle name="Normal 5" xfId="13" xr:uid="{00000000-0005-0000-0000-00001B000000}"/>
    <cellStyle name="Normal 6" xfId="15" xr:uid="{00000000-0005-0000-0000-00001C000000}"/>
    <cellStyle name="Normal 7" xfId="17" xr:uid="{00000000-0005-0000-0000-00001D000000}"/>
    <cellStyle name="Normal 8" xfId="19" xr:uid="{00000000-0005-0000-0000-00001E000000}"/>
    <cellStyle name="Normal 9" xfId="21" xr:uid="{00000000-0005-0000-0000-00001F000000}"/>
    <cellStyle name="Percent" xfId="34" builtinId="5"/>
    <cellStyle name="Percent 2" xfId="29" xr:uid="{00000000-0005-0000-0000-000021000000}"/>
    <cellStyle name="Percent 3" xfId="36" xr:uid="{6F47C1D0-60F1-49FB-9589-7C6B9F70C84F}"/>
  </cellStyles>
  <dxfs count="0"/>
  <tableStyles count="0" defaultTableStyle="TableStyleMedium9" defaultPivotStyle="PivotStyleLight16"/>
  <colors>
    <mruColors>
      <color rgb="FFDA9694"/>
      <color rgb="FFF2DCDB"/>
      <color rgb="FF95B3D7"/>
      <color rgb="FFC4D79B"/>
      <color rgb="FFC0C0C0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940904</xdr:colOff>
      <xdr:row>0</xdr:row>
      <xdr:rowOff>0</xdr:rowOff>
    </xdr:from>
    <xdr:to>
      <xdr:col>7</xdr:col>
      <xdr:colOff>27840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43E3AD-637A-8F0C-C516-B33FB3588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7252" y="0"/>
          <a:ext cx="1353058" cy="6871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324678</xdr:colOff>
      <xdr:row>0</xdr:row>
      <xdr:rowOff>0</xdr:rowOff>
    </xdr:from>
    <xdr:to>
      <xdr:col>6</xdr:col>
      <xdr:colOff>836223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CE5B6-CDE3-4ED0-A5D4-42349E2C3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5948" y="0"/>
          <a:ext cx="1353058" cy="6871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324678</xdr:colOff>
      <xdr:row>0</xdr:row>
      <xdr:rowOff>0</xdr:rowOff>
    </xdr:from>
    <xdr:to>
      <xdr:col>6</xdr:col>
      <xdr:colOff>836223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4FBCE-8F96-439F-83B1-37767EF3D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978" y="0"/>
          <a:ext cx="1349745" cy="6878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940904</xdr:colOff>
      <xdr:row>0</xdr:row>
      <xdr:rowOff>0</xdr:rowOff>
    </xdr:from>
    <xdr:to>
      <xdr:col>7</xdr:col>
      <xdr:colOff>27840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8FE5D3-D938-4ED4-A103-FCB471570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5264" y="0"/>
          <a:ext cx="1357696" cy="6878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940904</xdr:colOff>
      <xdr:row>0</xdr:row>
      <xdr:rowOff>0</xdr:rowOff>
    </xdr:from>
    <xdr:to>
      <xdr:col>7</xdr:col>
      <xdr:colOff>27840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B60F5-E4B4-4A77-B9A5-4DC094E73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5264" y="0"/>
          <a:ext cx="1357696" cy="6878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324678</xdr:colOff>
      <xdr:row>0</xdr:row>
      <xdr:rowOff>0</xdr:rowOff>
    </xdr:from>
    <xdr:to>
      <xdr:col>6</xdr:col>
      <xdr:colOff>836223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A35D39-3016-45C0-A7D3-87BF37188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978" y="0"/>
          <a:ext cx="1349745" cy="6878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987287</xdr:colOff>
      <xdr:row>0</xdr:row>
      <xdr:rowOff>0</xdr:rowOff>
    </xdr:from>
    <xdr:to>
      <xdr:col>5</xdr:col>
      <xdr:colOff>509653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005F9-A47C-4C8D-8837-BBCEAE3B7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9560" y="0"/>
          <a:ext cx="1377670" cy="6776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324678</xdr:colOff>
      <xdr:row>0</xdr:row>
      <xdr:rowOff>0</xdr:rowOff>
    </xdr:from>
    <xdr:to>
      <xdr:col>6</xdr:col>
      <xdr:colOff>836223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9CD91-B15E-41CC-B711-B6F3553A4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978" y="0"/>
          <a:ext cx="1349745" cy="6878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324678</xdr:colOff>
      <xdr:row>0</xdr:row>
      <xdr:rowOff>0</xdr:rowOff>
    </xdr:from>
    <xdr:to>
      <xdr:col>6</xdr:col>
      <xdr:colOff>836223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86072-8DD3-4419-9AE6-9202DC2D6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7935" y="0"/>
          <a:ext cx="1376959" cy="6736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S82"/>
  <sheetViews>
    <sheetView showGridLines="0" tabSelected="1" view="pageBreakPreview" topLeftCell="A51" zoomScale="115" zoomScaleNormal="100" zoomScaleSheetLayoutView="115" workbookViewId="0">
      <selection activeCell="G62" sqref="G62"/>
    </sheetView>
  </sheetViews>
  <sheetFormatPr defaultColWidth="9.23046875" defaultRowHeight="12.9" x14ac:dyDescent="0.35"/>
  <cols>
    <col min="1" max="1" width="2.07421875" style="294" customWidth="1"/>
    <col min="2" max="2" width="9.69140625" style="295" customWidth="1"/>
    <col min="3" max="3" width="21.23046875" style="295" customWidth="1"/>
    <col min="4" max="4" width="14.4609375" style="296" customWidth="1"/>
    <col min="5" max="7" width="16.53515625" style="296" customWidth="1"/>
    <col min="8" max="8" width="2.07421875" style="295" customWidth="1"/>
    <col min="9" max="9" width="11" style="295" bestFit="1" customWidth="1"/>
    <col min="10" max="11" width="9.23046875" style="295"/>
    <col min="12" max="12" width="16" style="295" bestFit="1" customWidth="1"/>
    <col min="13" max="13" width="12" style="295" bestFit="1" customWidth="1"/>
    <col min="14" max="16" width="9.23046875" style="295"/>
    <col min="17" max="18" width="13.69140625" style="295" bestFit="1" customWidth="1"/>
    <col min="19" max="19" width="11" style="295" bestFit="1" customWidth="1"/>
    <col min="20" max="16384" width="9.23046875" style="295"/>
  </cols>
  <sheetData>
    <row r="1" spans="2:19" ht="30.75" customHeight="1" x14ac:dyDescent="0.6">
      <c r="C1" s="306" t="s">
        <v>116</v>
      </c>
    </row>
    <row r="2" spans="2:19" x14ac:dyDescent="0.35">
      <c r="C2" s="299" t="s">
        <v>115</v>
      </c>
    </row>
    <row r="3" spans="2:19" x14ac:dyDescent="0.35">
      <c r="C3" s="297" t="s">
        <v>93</v>
      </c>
    </row>
    <row r="4" spans="2:19" ht="14.25" customHeight="1" x14ac:dyDescent="0.35">
      <c r="C4" s="304" t="s">
        <v>0</v>
      </c>
      <c r="D4" s="304" t="s">
        <v>91</v>
      </c>
      <c r="E4" s="304" t="s">
        <v>80</v>
      </c>
      <c r="F4" s="304" t="s">
        <v>81</v>
      </c>
      <c r="G4" s="304" t="s">
        <v>82</v>
      </c>
    </row>
    <row r="5" spans="2:19" x14ac:dyDescent="0.35">
      <c r="C5" s="305"/>
      <c r="D5" s="305" t="s">
        <v>83</v>
      </c>
      <c r="E5" s="305" t="s">
        <v>111</v>
      </c>
      <c r="F5" s="305" t="s">
        <v>111</v>
      </c>
      <c r="G5" s="305" t="s">
        <v>111</v>
      </c>
    </row>
    <row r="6" spans="2:19" x14ac:dyDescent="0.35">
      <c r="C6" s="301"/>
      <c r="D6" s="302"/>
      <c r="E6" s="307" t="s">
        <v>94</v>
      </c>
      <c r="F6" s="307" t="s">
        <v>95</v>
      </c>
      <c r="G6" s="303" t="s">
        <v>96</v>
      </c>
    </row>
    <row r="7" spans="2:19" x14ac:dyDescent="0.35">
      <c r="B7" s="300"/>
      <c r="C7" s="301"/>
      <c r="D7" s="302"/>
      <c r="E7" s="303"/>
      <c r="F7" s="303" t="s">
        <v>97</v>
      </c>
      <c r="G7" s="303"/>
    </row>
    <row r="8" spans="2:19" x14ac:dyDescent="0.35">
      <c r="B8" s="300"/>
      <c r="C8" s="301"/>
      <c r="D8" s="302"/>
      <c r="E8" s="364" t="s">
        <v>188</v>
      </c>
      <c r="F8" s="364"/>
      <c r="G8" s="364"/>
    </row>
    <row r="9" spans="2:19" ht="3.65" customHeight="1" x14ac:dyDescent="0.35">
      <c r="B9" s="300"/>
      <c r="C9" s="301"/>
      <c r="D9" s="302"/>
      <c r="E9" s="303"/>
      <c r="F9" s="303"/>
      <c r="G9" s="303"/>
    </row>
    <row r="10" spans="2:19" x14ac:dyDescent="0.35">
      <c r="B10" s="381" t="s">
        <v>86</v>
      </c>
      <c r="C10" s="375" t="s">
        <v>73</v>
      </c>
      <c r="D10" s="376" t="s">
        <v>84</v>
      </c>
      <c r="E10" s="377">
        <v>212000</v>
      </c>
      <c r="F10" s="377">
        <v>312500</v>
      </c>
      <c r="G10" s="377">
        <v>466500</v>
      </c>
    </row>
    <row r="11" spans="2:19" x14ac:dyDescent="0.35">
      <c r="B11" s="382"/>
      <c r="C11" s="375" t="s">
        <v>77</v>
      </c>
      <c r="D11" s="376" t="s">
        <v>84</v>
      </c>
      <c r="E11" s="377">
        <v>259500</v>
      </c>
      <c r="F11" s="377">
        <v>360500</v>
      </c>
      <c r="G11" s="377">
        <v>514000</v>
      </c>
    </row>
    <row r="12" spans="2:19" x14ac:dyDescent="0.35">
      <c r="B12" s="382"/>
      <c r="C12" s="375" t="s">
        <v>1</v>
      </c>
      <c r="D12" s="376" t="s">
        <v>85</v>
      </c>
      <c r="E12" s="377">
        <v>259500</v>
      </c>
      <c r="F12" s="377">
        <v>360500</v>
      </c>
      <c r="G12" s="377">
        <v>514000</v>
      </c>
    </row>
    <row r="13" spans="2:19" x14ac:dyDescent="0.35">
      <c r="B13" s="382"/>
      <c r="C13" s="375" t="s">
        <v>78</v>
      </c>
      <c r="D13" s="376" t="s">
        <v>84</v>
      </c>
      <c r="E13" s="377">
        <v>281000</v>
      </c>
      <c r="F13" s="377">
        <v>381500</v>
      </c>
      <c r="G13" s="377">
        <v>535500</v>
      </c>
      <c r="J13" s="333"/>
    </row>
    <row r="14" spans="2:19" x14ac:dyDescent="0.35">
      <c r="B14" s="382"/>
      <c r="C14" s="375" t="s">
        <v>89</v>
      </c>
      <c r="D14" s="376" t="s">
        <v>84</v>
      </c>
      <c r="E14" s="377">
        <v>281000</v>
      </c>
      <c r="F14" s="377">
        <v>381500</v>
      </c>
      <c r="G14" s="377">
        <v>535500</v>
      </c>
      <c r="J14" s="346"/>
      <c r="K14" s="346"/>
      <c r="L14" s="346"/>
      <c r="Q14" s="333"/>
    </row>
    <row r="15" spans="2:19" x14ac:dyDescent="0.35">
      <c r="B15" s="382"/>
      <c r="C15" s="375" t="s">
        <v>65</v>
      </c>
      <c r="D15" s="376" t="s">
        <v>84</v>
      </c>
      <c r="E15" s="377">
        <v>281000</v>
      </c>
      <c r="F15" s="377">
        <v>381500</v>
      </c>
      <c r="G15" s="377">
        <v>535500</v>
      </c>
      <c r="L15" s="298"/>
      <c r="M15" s="298"/>
      <c r="N15" s="347"/>
      <c r="O15" s="347"/>
      <c r="P15" s="347"/>
      <c r="Q15" s="298"/>
      <c r="S15" s="298"/>
    </row>
    <row r="16" spans="2:19" x14ac:dyDescent="0.35">
      <c r="B16" s="382"/>
      <c r="C16" s="375" t="s">
        <v>71</v>
      </c>
      <c r="D16" s="376" t="s">
        <v>84</v>
      </c>
      <c r="E16" s="377">
        <v>281000</v>
      </c>
      <c r="F16" s="377">
        <v>381500</v>
      </c>
      <c r="G16" s="377">
        <v>535500</v>
      </c>
      <c r="L16" s="298"/>
      <c r="M16" s="298"/>
      <c r="N16" s="347"/>
      <c r="O16" s="347"/>
      <c r="P16" s="347"/>
      <c r="Q16" s="335"/>
      <c r="S16" s="298"/>
    </row>
    <row r="17" spans="2:19" x14ac:dyDescent="0.35">
      <c r="B17" s="382"/>
      <c r="C17" s="375" t="s">
        <v>72</v>
      </c>
      <c r="D17" s="376" t="s">
        <v>84</v>
      </c>
      <c r="E17" s="377">
        <v>281000</v>
      </c>
      <c r="F17" s="377">
        <v>381500</v>
      </c>
      <c r="G17" s="377">
        <v>535500</v>
      </c>
      <c r="J17" s="333"/>
      <c r="K17" s="333"/>
      <c r="L17" s="342"/>
      <c r="M17" s="298"/>
      <c r="Q17" s="298"/>
      <c r="S17" s="298"/>
    </row>
    <row r="18" spans="2:19" x14ac:dyDescent="0.35">
      <c r="B18" s="382"/>
      <c r="C18" s="375" t="s">
        <v>62</v>
      </c>
      <c r="D18" s="376" t="s">
        <v>84</v>
      </c>
      <c r="E18" s="377">
        <v>281000</v>
      </c>
      <c r="F18" s="377">
        <v>381500</v>
      </c>
      <c r="G18" s="377">
        <v>535500</v>
      </c>
      <c r="K18" s="344"/>
      <c r="L18" s="334"/>
      <c r="Q18" s="298"/>
      <c r="S18" s="298"/>
    </row>
    <row r="19" spans="2:19" x14ac:dyDescent="0.35">
      <c r="B19" s="382"/>
      <c r="C19" s="375" t="s">
        <v>66</v>
      </c>
      <c r="D19" s="376" t="s">
        <v>84</v>
      </c>
      <c r="E19" s="377">
        <v>281000</v>
      </c>
      <c r="F19" s="377">
        <v>381500</v>
      </c>
      <c r="G19" s="377">
        <v>535500</v>
      </c>
      <c r="S19" s="298"/>
    </row>
    <row r="20" spans="2:19" x14ac:dyDescent="0.35">
      <c r="B20" s="382"/>
      <c r="C20" s="375" t="s">
        <v>61</v>
      </c>
      <c r="D20" s="376" t="s">
        <v>84</v>
      </c>
      <c r="E20" s="377">
        <v>291500</v>
      </c>
      <c r="F20" s="377">
        <v>392000</v>
      </c>
      <c r="G20" s="377">
        <v>546000</v>
      </c>
    </row>
    <row r="21" spans="2:19" x14ac:dyDescent="0.35">
      <c r="B21" s="382"/>
      <c r="C21" s="375" t="s">
        <v>79</v>
      </c>
      <c r="D21" s="376" t="s">
        <v>84</v>
      </c>
      <c r="E21" s="377">
        <v>291500</v>
      </c>
      <c r="F21" s="377">
        <v>392000</v>
      </c>
      <c r="G21" s="377">
        <v>546000</v>
      </c>
      <c r="K21" s="343"/>
      <c r="L21" s="335"/>
    </row>
    <row r="22" spans="2:19" x14ac:dyDescent="0.35">
      <c r="B22" s="382"/>
      <c r="C22" s="375" t="s">
        <v>68</v>
      </c>
      <c r="D22" s="376" t="s">
        <v>84</v>
      </c>
      <c r="E22" s="377">
        <v>297000</v>
      </c>
      <c r="F22" s="377">
        <v>397500</v>
      </c>
      <c r="G22" s="377">
        <v>551000</v>
      </c>
      <c r="K22" s="345"/>
      <c r="L22" s="298"/>
      <c r="Q22" s="344"/>
      <c r="R22" s="342"/>
    </row>
    <row r="23" spans="2:19" x14ac:dyDescent="0.35">
      <c r="B23" s="382"/>
      <c r="C23" s="378" t="s">
        <v>212</v>
      </c>
      <c r="D23" s="379" t="s">
        <v>84</v>
      </c>
      <c r="E23" s="380">
        <v>281000</v>
      </c>
      <c r="F23" s="380">
        <v>381500</v>
      </c>
      <c r="G23" s="380">
        <v>535500</v>
      </c>
      <c r="K23" s="345"/>
      <c r="L23" s="298"/>
      <c r="Q23" s="344"/>
      <c r="R23" s="342"/>
    </row>
    <row r="24" spans="2:19" x14ac:dyDescent="0.35">
      <c r="B24" s="382"/>
      <c r="C24" s="378" t="s">
        <v>213</v>
      </c>
      <c r="D24" s="379" t="s">
        <v>84</v>
      </c>
      <c r="E24" s="380">
        <v>281000</v>
      </c>
      <c r="F24" s="380">
        <v>381500</v>
      </c>
      <c r="G24" s="380">
        <v>535500</v>
      </c>
      <c r="K24" s="345"/>
      <c r="L24" s="298"/>
      <c r="Q24" s="344"/>
      <c r="R24" s="342"/>
    </row>
    <row r="25" spans="2:19" x14ac:dyDescent="0.35">
      <c r="B25" s="382"/>
      <c r="C25" s="378" t="s">
        <v>214</v>
      </c>
      <c r="D25" s="379" t="s">
        <v>84</v>
      </c>
      <c r="E25" s="380">
        <v>281000</v>
      </c>
      <c r="F25" s="380">
        <v>381500</v>
      </c>
      <c r="G25" s="380">
        <v>535500</v>
      </c>
      <c r="K25" s="345"/>
      <c r="L25" s="298"/>
      <c r="Q25" s="344"/>
      <c r="R25" s="342"/>
    </row>
    <row r="26" spans="2:19" x14ac:dyDescent="0.35">
      <c r="B26" s="383"/>
      <c r="C26" s="378" t="s">
        <v>217</v>
      </c>
      <c r="D26" s="379" t="s">
        <v>84</v>
      </c>
      <c r="E26" s="380">
        <v>281000</v>
      </c>
      <c r="F26" s="380">
        <v>381500</v>
      </c>
      <c r="G26" s="380">
        <v>535500</v>
      </c>
      <c r="K26" s="345"/>
      <c r="L26" s="298"/>
      <c r="Q26" s="344"/>
      <c r="R26" s="342"/>
    </row>
    <row r="27" spans="2:19" x14ac:dyDescent="0.35">
      <c r="B27" s="374" t="s">
        <v>87</v>
      </c>
      <c r="C27" s="375" t="s">
        <v>74</v>
      </c>
      <c r="D27" s="376" t="s">
        <v>84</v>
      </c>
      <c r="E27" s="377">
        <v>217500</v>
      </c>
      <c r="F27" s="377">
        <v>318000</v>
      </c>
      <c r="G27" s="377">
        <v>471500</v>
      </c>
    </row>
    <row r="28" spans="2:19" x14ac:dyDescent="0.35">
      <c r="B28" s="374"/>
      <c r="C28" s="378" t="s">
        <v>231</v>
      </c>
      <c r="D28" s="379" t="s">
        <v>84</v>
      </c>
      <c r="E28" s="380">
        <v>217500</v>
      </c>
      <c r="F28" s="380">
        <v>318000</v>
      </c>
      <c r="G28" s="380">
        <v>471500</v>
      </c>
    </row>
    <row r="29" spans="2:19" x14ac:dyDescent="0.35">
      <c r="B29" s="374"/>
      <c r="C29" s="375" t="s">
        <v>75</v>
      </c>
      <c r="D29" s="376" t="s">
        <v>84</v>
      </c>
      <c r="E29" s="377">
        <v>281000</v>
      </c>
      <c r="F29" s="377">
        <v>381500</v>
      </c>
      <c r="G29" s="377">
        <v>535500</v>
      </c>
      <c r="I29" s="298"/>
    </row>
    <row r="30" spans="2:19" x14ac:dyDescent="0.35">
      <c r="B30" s="374"/>
      <c r="C30" s="375" t="s">
        <v>76</v>
      </c>
      <c r="D30" s="376" t="s">
        <v>84</v>
      </c>
      <c r="E30" s="377">
        <v>291500</v>
      </c>
      <c r="F30" s="377">
        <v>392000</v>
      </c>
      <c r="G30" s="377">
        <v>546000</v>
      </c>
      <c r="I30" s="298"/>
      <c r="L30" s="335"/>
    </row>
    <row r="31" spans="2:19" x14ac:dyDescent="0.35">
      <c r="B31" s="374" t="s">
        <v>88</v>
      </c>
      <c r="C31" s="375" t="s">
        <v>60</v>
      </c>
      <c r="D31" s="376" t="s">
        <v>84</v>
      </c>
      <c r="E31" s="377">
        <v>206500</v>
      </c>
      <c r="F31" s="377">
        <v>307500</v>
      </c>
      <c r="G31" s="377">
        <v>461000</v>
      </c>
    </row>
    <row r="32" spans="2:19" x14ac:dyDescent="0.35">
      <c r="B32" s="374"/>
      <c r="C32" s="375" t="s">
        <v>69</v>
      </c>
      <c r="D32" s="376" t="s">
        <v>84</v>
      </c>
      <c r="E32" s="377">
        <v>206500</v>
      </c>
      <c r="F32" s="377">
        <v>307500</v>
      </c>
      <c r="G32" s="377">
        <v>461000</v>
      </c>
    </row>
    <row r="33" spans="1:8" x14ac:dyDescent="0.35">
      <c r="B33" s="374"/>
      <c r="C33" s="375" t="s">
        <v>70</v>
      </c>
      <c r="D33" s="376" t="s">
        <v>84</v>
      </c>
      <c r="E33" s="377">
        <v>206500</v>
      </c>
      <c r="F33" s="377">
        <v>307500</v>
      </c>
      <c r="G33" s="377">
        <v>461000</v>
      </c>
    </row>
    <row r="34" spans="1:8" x14ac:dyDescent="0.35">
      <c r="B34" s="374"/>
      <c r="C34" s="375" t="s">
        <v>90</v>
      </c>
      <c r="D34" s="376" t="s">
        <v>84</v>
      </c>
      <c r="E34" s="377">
        <v>206500</v>
      </c>
      <c r="F34" s="377">
        <v>307500</v>
      </c>
      <c r="G34" s="377">
        <v>461000</v>
      </c>
    </row>
    <row r="35" spans="1:8" x14ac:dyDescent="0.35">
      <c r="B35" s="374"/>
      <c r="C35" s="375" t="s">
        <v>63</v>
      </c>
      <c r="D35" s="376" t="s">
        <v>84</v>
      </c>
      <c r="E35" s="377">
        <v>206500</v>
      </c>
      <c r="F35" s="377">
        <v>307500</v>
      </c>
      <c r="G35" s="377">
        <v>461000</v>
      </c>
    </row>
    <row r="36" spans="1:8" x14ac:dyDescent="0.35">
      <c r="B36" s="374"/>
      <c r="C36" s="375" t="s">
        <v>64</v>
      </c>
      <c r="D36" s="376" t="s">
        <v>84</v>
      </c>
      <c r="E36" s="377">
        <v>206500</v>
      </c>
      <c r="F36" s="377">
        <v>307500</v>
      </c>
      <c r="G36" s="377">
        <v>461000</v>
      </c>
    </row>
    <row r="37" spans="1:8" x14ac:dyDescent="0.35">
      <c r="B37" s="374"/>
      <c r="C37" s="375" t="s">
        <v>67</v>
      </c>
      <c r="D37" s="376" t="s">
        <v>84</v>
      </c>
      <c r="E37" s="377">
        <v>212000</v>
      </c>
      <c r="F37" s="377">
        <v>312500</v>
      </c>
      <c r="G37" s="377">
        <v>466500</v>
      </c>
    </row>
    <row r="38" spans="1:8" x14ac:dyDescent="0.35">
      <c r="B38" s="374"/>
      <c r="C38" s="378" t="s">
        <v>215</v>
      </c>
      <c r="D38" s="379" t="s">
        <v>84</v>
      </c>
      <c r="E38" s="380">
        <v>206500</v>
      </c>
      <c r="F38" s="380">
        <v>307500</v>
      </c>
      <c r="G38" s="380">
        <v>461000</v>
      </c>
    </row>
    <row r="39" spans="1:8" x14ac:dyDescent="0.35">
      <c r="B39" s="374"/>
      <c r="C39" s="378" t="s">
        <v>218</v>
      </c>
      <c r="D39" s="379" t="s">
        <v>84</v>
      </c>
      <c r="E39" s="380">
        <v>206500</v>
      </c>
      <c r="F39" s="380">
        <v>307500</v>
      </c>
      <c r="G39" s="380">
        <v>461000</v>
      </c>
    </row>
    <row r="40" spans="1:8" x14ac:dyDescent="0.35">
      <c r="B40" s="300"/>
      <c r="C40" s="301"/>
      <c r="D40" s="302"/>
      <c r="E40" s="303"/>
      <c r="F40" s="303"/>
      <c r="G40" s="303"/>
    </row>
    <row r="41" spans="1:8" x14ac:dyDescent="0.35">
      <c r="G41" s="312" t="s">
        <v>92</v>
      </c>
    </row>
    <row r="42" spans="1:8" x14ac:dyDescent="0.35">
      <c r="A42" s="297"/>
      <c r="C42" s="297"/>
      <c r="D42" s="297"/>
      <c r="E42" s="297"/>
      <c r="F42" s="297"/>
      <c r="G42" s="309" t="s">
        <v>232</v>
      </c>
      <c r="H42" s="297"/>
    </row>
    <row r="43" spans="1:8" x14ac:dyDescent="0.35">
      <c r="A43" s="297"/>
      <c r="C43" s="297"/>
      <c r="D43" s="297"/>
      <c r="E43" s="297"/>
      <c r="F43" s="297"/>
      <c r="G43" s="308" t="s">
        <v>98</v>
      </c>
      <c r="H43" s="297"/>
    </row>
    <row r="44" spans="1:8" x14ac:dyDescent="0.35">
      <c r="A44" s="297"/>
      <c r="C44" s="297"/>
      <c r="D44" s="297"/>
      <c r="E44" s="297"/>
      <c r="F44" s="297"/>
      <c r="G44" s="309" t="s">
        <v>99</v>
      </c>
      <c r="H44" s="297"/>
    </row>
    <row r="45" spans="1:8" s="310" customFormat="1" x14ac:dyDescent="0.35">
      <c r="A45" s="297"/>
      <c r="C45" s="297"/>
      <c r="D45" s="297"/>
      <c r="E45" s="297"/>
      <c r="F45" s="297"/>
      <c r="G45" s="297"/>
      <c r="H45" s="297"/>
    </row>
    <row r="46" spans="1:8" s="310" customFormat="1" x14ac:dyDescent="0.35">
      <c r="A46" s="297"/>
      <c r="B46" s="297"/>
      <c r="C46" s="297"/>
      <c r="D46" s="297"/>
      <c r="E46" s="297"/>
      <c r="F46" s="297"/>
      <c r="G46" s="297"/>
      <c r="H46" s="297"/>
    </row>
    <row r="47" spans="1:8" ht="14.25" customHeight="1" x14ac:dyDescent="0.35">
      <c r="C47" s="365" t="s">
        <v>112</v>
      </c>
      <c r="D47" s="366"/>
      <c r="E47" s="365" t="s">
        <v>113</v>
      </c>
      <c r="F47" s="366"/>
      <c r="G47" s="297"/>
    </row>
    <row r="48" spans="1:8" x14ac:dyDescent="0.35">
      <c r="C48" s="367"/>
      <c r="D48" s="368"/>
      <c r="E48" s="367"/>
      <c r="F48" s="368"/>
      <c r="G48" s="297"/>
    </row>
    <row r="49" spans="1:8" s="310" customFormat="1" x14ac:dyDescent="0.35">
      <c r="A49" s="314"/>
      <c r="C49" s="384"/>
      <c r="D49" s="385" t="s">
        <v>3</v>
      </c>
      <c r="E49" s="392">
        <v>106000</v>
      </c>
      <c r="F49" s="390" t="s">
        <v>2</v>
      </c>
      <c r="G49" s="313"/>
      <c r="H49" s="297"/>
    </row>
    <row r="50" spans="1:8" s="310" customFormat="1" x14ac:dyDescent="0.35">
      <c r="A50" s="314"/>
      <c r="C50" s="384"/>
      <c r="D50" s="385" t="s">
        <v>19</v>
      </c>
      <c r="E50" s="392">
        <v>63500</v>
      </c>
      <c r="F50" s="390" t="s">
        <v>2</v>
      </c>
      <c r="G50" s="313"/>
      <c r="H50" s="297"/>
    </row>
    <row r="51" spans="1:8" s="310" customFormat="1" x14ac:dyDescent="0.35">
      <c r="C51" s="384"/>
      <c r="D51" s="385" t="s">
        <v>5</v>
      </c>
      <c r="E51" s="392">
        <v>2067000</v>
      </c>
      <c r="F51" s="390" t="s">
        <v>4</v>
      </c>
      <c r="G51" s="313"/>
    </row>
    <row r="52" spans="1:8" s="310" customFormat="1" x14ac:dyDescent="0.35">
      <c r="C52" s="388"/>
      <c r="D52" s="387" t="s">
        <v>228</v>
      </c>
      <c r="E52" s="393">
        <v>350000</v>
      </c>
      <c r="F52" s="391" t="s">
        <v>12</v>
      </c>
      <c r="G52" s="313"/>
    </row>
    <row r="53" spans="1:8" s="310" customFormat="1" x14ac:dyDescent="0.35">
      <c r="C53" s="388"/>
      <c r="D53" s="387" t="s">
        <v>229</v>
      </c>
      <c r="E53" s="393">
        <v>235000</v>
      </c>
      <c r="F53" s="391" t="s">
        <v>230</v>
      </c>
      <c r="G53" s="313"/>
    </row>
    <row r="54" spans="1:8" s="310" customFormat="1" x14ac:dyDescent="0.35">
      <c r="C54" s="388"/>
      <c r="D54" s="386" t="s">
        <v>9</v>
      </c>
      <c r="E54" s="392">
        <v>159000</v>
      </c>
      <c r="F54" s="390" t="s">
        <v>4</v>
      </c>
      <c r="G54" s="313"/>
    </row>
    <row r="55" spans="1:8" s="310" customFormat="1" x14ac:dyDescent="0.35">
      <c r="C55" s="388"/>
      <c r="D55" s="386" t="s">
        <v>10</v>
      </c>
      <c r="E55" s="392">
        <v>238500</v>
      </c>
      <c r="F55" s="390" t="s">
        <v>4</v>
      </c>
      <c r="G55" s="313"/>
    </row>
    <row r="56" spans="1:8" s="310" customFormat="1" x14ac:dyDescent="0.35">
      <c r="C56" s="388"/>
      <c r="D56" s="386" t="s">
        <v>100</v>
      </c>
      <c r="E56" s="392">
        <v>238500</v>
      </c>
      <c r="F56" s="390" t="s">
        <v>101</v>
      </c>
      <c r="G56" s="313"/>
    </row>
    <row r="57" spans="1:8" s="310" customFormat="1" x14ac:dyDescent="0.35">
      <c r="C57" s="388"/>
      <c r="D57" s="386" t="s">
        <v>102</v>
      </c>
      <c r="E57" s="392">
        <v>318000</v>
      </c>
      <c r="F57" s="390" t="s">
        <v>101</v>
      </c>
      <c r="G57" s="313"/>
    </row>
    <row r="58" spans="1:8" s="310" customFormat="1" x14ac:dyDescent="0.35">
      <c r="C58" s="388"/>
      <c r="D58" s="386" t="s">
        <v>103</v>
      </c>
      <c r="E58" s="392">
        <v>477000</v>
      </c>
      <c r="F58" s="390" t="s">
        <v>101</v>
      </c>
      <c r="G58" s="313"/>
    </row>
    <row r="59" spans="1:8" s="336" customFormat="1" x14ac:dyDescent="0.35">
      <c r="C59" s="389"/>
      <c r="D59" s="387" t="s">
        <v>196</v>
      </c>
      <c r="E59" s="393">
        <v>41000</v>
      </c>
      <c r="F59" s="391" t="s">
        <v>12</v>
      </c>
      <c r="G59" s="337"/>
    </row>
    <row r="60" spans="1:8" s="336" customFormat="1" x14ac:dyDescent="0.35">
      <c r="C60" s="389"/>
      <c r="D60" s="387" t="s">
        <v>219</v>
      </c>
      <c r="E60" s="393">
        <v>212000</v>
      </c>
      <c r="F60" s="391" t="s">
        <v>2</v>
      </c>
      <c r="G60" s="337"/>
    </row>
    <row r="61" spans="1:8" s="310" customFormat="1" x14ac:dyDescent="0.35">
      <c r="A61" s="297"/>
      <c r="B61" s="297"/>
      <c r="C61" s="323"/>
      <c r="D61" s="323"/>
      <c r="E61" s="323"/>
      <c r="F61" s="323"/>
      <c r="G61" s="297"/>
      <c r="H61" s="297"/>
    </row>
    <row r="62" spans="1:8" s="310" customFormat="1" x14ac:dyDescent="0.35">
      <c r="C62" s="394" t="s">
        <v>104</v>
      </c>
      <c r="D62" s="394"/>
      <c r="E62" s="394"/>
      <c r="F62" s="394"/>
      <c r="G62" s="313"/>
    </row>
    <row r="63" spans="1:8" s="310" customFormat="1" x14ac:dyDescent="0.35">
      <c r="C63" s="388"/>
      <c r="D63" s="386" t="s">
        <v>191</v>
      </c>
      <c r="E63" s="393">
        <v>1908000</v>
      </c>
      <c r="F63" s="390" t="s">
        <v>11</v>
      </c>
      <c r="G63" s="340"/>
    </row>
    <row r="64" spans="1:8" s="310" customFormat="1" x14ac:dyDescent="0.35">
      <c r="C64" s="388"/>
      <c r="D64" s="386" t="s">
        <v>197</v>
      </c>
      <c r="E64" s="393">
        <v>2120000</v>
      </c>
      <c r="F64" s="390" t="s">
        <v>11</v>
      </c>
      <c r="G64" s="340"/>
    </row>
    <row r="65" spans="1:8" s="310" customFormat="1" x14ac:dyDescent="0.35">
      <c r="C65" s="388"/>
      <c r="D65" s="386" t="s">
        <v>192</v>
      </c>
      <c r="E65" s="393">
        <v>2968000</v>
      </c>
      <c r="F65" s="390" t="s">
        <v>11</v>
      </c>
      <c r="G65" s="341"/>
    </row>
    <row r="66" spans="1:8" s="310" customFormat="1" x14ac:dyDescent="0.35">
      <c r="C66" s="388"/>
      <c r="D66" s="386" t="s">
        <v>193</v>
      </c>
      <c r="E66" s="393">
        <v>3710000</v>
      </c>
      <c r="F66" s="390" t="s">
        <v>11</v>
      </c>
      <c r="G66" s="340"/>
    </row>
    <row r="67" spans="1:8" s="310" customFormat="1" x14ac:dyDescent="0.35">
      <c r="C67" s="388"/>
      <c r="D67" s="386" t="s">
        <v>197</v>
      </c>
      <c r="E67" s="393">
        <v>2120000</v>
      </c>
      <c r="F67" s="390" t="s">
        <v>11</v>
      </c>
      <c r="G67" s="340"/>
    </row>
    <row r="68" spans="1:8" s="310" customFormat="1" x14ac:dyDescent="0.35">
      <c r="C68" s="388"/>
      <c r="D68" s="386" t="s">
        <v>189</v>
      </c>
      <c r="E68" s="393">
        <v>530000</v>
      </c>
      <c r="F68" s="390" t="s">
        <v>8</v>
      </c>
      <c r="G68" s="320"/>
    </row>
    <row r="69" spans="1:8" s="310" customFormat="1" x14ac:dyDescent="0.35">
      <c r="C69" s="388"/>
      <c r="D69" s="386" t="s">
        <v>105</v>
      </c>
      <c r="E69" s="393">
        <v>795000</v>
      </c>
      <c r="F69" s="390" t="s">
        <v>8</v>
      </c>
      <c r="G69" s="320"/>
    </row>
    <row r="70" spans="1:8" s="310" customFormat="1" x14ac:dyDescent="0.35">
      <c r="C70" s="388"/>
      <c r="D70" s="386" t="s">
        <v>58</v>
      </c>
      <c r="E70" s="393">
        <v>2438000</v>
      </c>
      <c r="F70" s="390" t="s">
        <v>8</v>
      </c>
      <c r="G70" s="320"/>
    </row>
    <row r="71" spans="1:8" s="310" customFormat="1" x14ac:dyDescent="0.35">
      <c r="C71" s="388"/>
      <c r="D71" s="386" t="s">
        <v>194</v>
      </c>
      <c r="E71" s="393">
        <v>3180000</v>
      </c>
      <c r="F71" s="390" t="s">
        <v>2</v>
      </c>
      <c r="G71" s="320"/>
    </row>
    <row r="72" spans="1:8" s="310" customFormat="1" x14ac:dyDescent="0.35">
      <c r="C72" s="388"/>
      <c r="D72" s="386" t="s">
        <v>106</v>
      </c>
      <c r="E72" s="393">
        <v>265000</v>
      </c>
      <c r="F72" s="390" t="s">
        <v>8</v>
      </c>
      <c r="G72" s="320"/>
    </row>
    <row r="73" spans="1:8" s="310" customFormat="1" x14ac:dyDescent="0.35">
      <c r="C73" s="388"/>
      <c r="D73" s="386" t="s">
        <v>190</v>
      </c>
      <c r="E73" s="393">
        <v>3180000</v>
      </c>
      <c r="F73" s="390" t="s">
        <v>11</v>
      </c>
      <c r="G73" s="320"/>
    </row>
    <row r="74" spans="1:8" s="310" customFormat="1" x14ac:dyDescent="0.35">
      <c r="A74" s="297"/>
      <c r="B74" s="297"/>
      <c r="C74" s="323"/>
      <c r="D74" s="323"/>
      <c r="E74" s="323"/>
      <c r="F74" s="323"/>
      <c r="G74" s="297"/>
      <c r="H74" s="297"/>
    </row>
    <row r="75" spans="1:8" s="310" customFormat="1" x14ac:dyDescent="0.35">
      <c r="C75" s="394" t="s">
        <v>107</v>
      </c>
      <c r="D75" s="394"/>
      <c r="E75" s="394"/>
      <c r="F75" s="394"/>
      <c r="G75" s="313"/>
    </row>
    <row r="76" spans="1:8" s="310" customFormat="1" x14ac:dyDescent="0.35">
      <c r="C76" s="384"/>
      <c r="D76" s="385" t="s">
        <v>195</v>
      </c>
      <c r="E76" s="393">
        <v>2862000</v>
      </c>
      <c r="F76" s="390" t="s">
        <v>11</v>
      </c>
      <c r="G76" s="320"/>
    </row>
    <row r="77" spans="1:8" s="310" customFormat="1" x14ac:dyDescent="0.35">
      <c r="C77" s="384"/>
      <c r="D77" s="385" t="s">
        <v>227</v>
      </c>
      <c r="E77" s="393">
        <v>2862000</v>
      </c>
      <c r="F77" s="390" t="s">
        <v>11</v>
      </c>
      <c r="G77" s="320"/>
    </row>
    <row r="78" spans="1:8" s="310" customFormat="1" x14ac:dyDescent="0.35">
      <c r="C78" s="384"/>
      <c r="D78" s="385" t="s">
        <v>114</v>
      </c>
      <c r="E78" s="393">
        <v>400000</v>
      </c>
      <c r="F78" s="390" t="s">
        <v>8</v>
      </c>
      <c r="G78" s="320"/>
    </row>
    <row r="79" spans="1:8" s="310" customFormat="1" x14ac:dyDescent="0.35">
      <c r="C79" s="384"/>
      <c r="D79" s="385" t="s">
        <v>108</v>
      </c>
      <c r="E79" s="393">
        <v>500000</v>
      </c>
      <c r="F79" s="390" t="s">
        <v>8</v>
      </c>
      <c r="G79" s="320"/>
    </row>
    <row r="80" spans="1:8" s="310" customFormat="1" x14ac:dyDescent="0.35">
      <c r="C80" s="384"/>
      <c r="D80" s="385" t="s">
        <v>109</v>
      </c>
      <c r="E80" s="393">
        <v>750000</v>
      </c>
      <c r="F80" s="390" t="s">
        <v>8</v>
      </c>
      <c r="G80" s="320"/>
    </row>
    <row r="81" spans="3:7" s="310" customFormat="1" x14ac:dyDescent="0.35">
      <c r="C81" s="384"/>
      <c r="D81" s="385" t="s">
        <v>110</v>
      </c>
      <c r="E81" s="393">
        <v>1250000</v>
      </c>
      <c r="F81" s="390" t="s">
        <v>8</v>
      </c>
      <c r="G81" s="320"/>
    </row>
    <row r="82" spans="3:7" s="310" customFormat="1" x14ac:dyDescent="0.35">
      <c r="D82" s="311"/>
      <c r="E82" s="311"/>
      <c r="F82" s="311"/>
      <c r="G82" s="311"/>
    </row>
  </sheetData>
  <sortState xmlns:xlrd2="http://schemas.microsoft.com/office/spreadsheetml/2017/richdata2" ref="B5:C37">
    <sortCondition ref="B5:B37"/>
  </sortState>
  <mergeCells count="8">
    <mergeCell ref="B27:B30"/>
    <mergeCell ref="E8:G8"/>
    <mergeCell ref="C75:F75"/>
    <mergeCell ref="C47:D48"/>
    <mergeCell ref="E47:F48"/>
    <mergeCell ref="C62:F62"/>
    <mergeCell ref="B31:B39"/>
    <mergeCell ref="B10:B26"/>
  </mergeCells>
  <pageMargins left="0.7" right="0.7" top="0.75" bottom="0.75" header="0.3" footer="0.3"/>
  <pageSetup scale="91" orientation="portrait" r:id="rId1"/>
  <rowBreaks count="1" manualBreakCount="1">
    <brk id="45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3410-8D75-4A84-B62B-5DC60E804829}">
  <dimension ref="A1:I44"/>
  <sheetViews>
    <sheetView showGridLines="0" view="pageBreakPreview" zoomScale="115" zoomScaleNormal="100" zoomScaleSheetLayoutView="115" workbookViewId="0">
      <selection activeCell="B38" sqref="B38"/>
    </sheetView>
  </sheetViews>
  <sheetFormatPr defaultColWidth="9.23046875" defaultRowHeight="12.9" x14ac:dyDescent="0.35"/>
  <cols>
    <col min="1" max="1" width="2.074218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07421875" style="295" customWidth="1"/>
    <col min="9" max="16384" width="9.23046875" style="295"/>
  </cols>
  <sheetData>
    <row r="1" spans="2:7" ht="30.75" customHeight="1" x14ac:dyDescent="0.6">
      <c r="B1" s="306" t="s">
        <v>117</v>
      </c>
      <c r="C1" s="306"/>
    </row>
    <row r="2" spans="2:7" x14ac:dyDescent="0.35">
      <c r="B2" s="299" t="s">
        <v>115</v>
      </c>
      <c r="C2" s="326"/>
    </row>
    <row r="3" spans="2:7" x14ac:dyDescent="0.35">
      <c r="B3" s="297" t="s">
        <v>93</v>
      </c>
      <c r="C3" s="301"/>
    </row>
    <row r="4" spans="2:7" ht="14.25" customHeight="1" x14ac:dyDescent="0.35">
      <c r="B4" s="304" t="s">
        <v>118</v>
      </c>
      <c r="C4" s="304" t="s">
        <v>146</v>
      </c>
      <c r="D4" s="304" t="s">
        <v>123</v>
      </c>
      <c r="E4" s="369" t="s">
        <v>119</v>
      </c>
      <c r="F4" s="370"/>
      <c r="G4" s="371"/>
    </row>
    <row r="5" spans="2:7" x14ac:dyDescent="0.35">
      <c r="B5" s="305"/>
      <c r="C5" s="305"/>
      <c r="D5" s="305" t="s">
        <v>111</v>
      </c>
      <c r="E5" s="305" t="s">
        <v>120</v>
      </c>
      <c r="F5" s="305" t="s">
        <v>121</v>
      </c>
      <c r="G5" s="305" t="s">
        <v>122</v>
      </c>
    </row>
    <row r="6" spans="2:7" ht="6" customHeight="1" x14ac:dyDescent="0.35">
      <c r="B6" s="301"/>
      <c r="C6" s="301"/>
      <c r="D6" s="307"/>
      <c r="E6" s="307"/>
      <c r="F6" s="307"/>
      <c r="G6" s="303"/>
    </row>
    <row r="7" spans="2:7" x14ac:dyDescent="0.35">
      <c r="B7" s="301" t="s">
        <v>125</v>
      </c>
      <c r="C7" s="327" t="s">
        <v>187</v>
      </c>
      <c r="D7" s="303"/>
      <c r="E7" s="307"/>
      <c r="F7" s="307"/>
      <c r="G7" s="303"/>
    </row>
    <row r="8" spans="2:7" x14ac:dyDescent="0.35">
      <c r="B8" s="301" t="s">
        <v>124</v>
      </c>
      <c r="C8" s="327"/>
      <c r="D8" s="303">
        <v>312500</v>
      </c>
      <c r="E8" s="307" t="s">
        <v>126</v>
      </c>
      <c r="F8" s="307" t="s">
        <v>127</v>
      </c>
      <c r="G8" s="303" t="s">
        <v>128</v>
      </c>
    </row>
    <row r="9" spans="2:7" ht="6" customHeight="1" x14ac:dyDescent="0.35">
      <c r="B9" s="321"/>
      <c r="C9" s="328"/>
      <c r="D9" s="322"/>
      <c r="E9" s="322"/>
      <c r="F9" s="322"/>
      <c r="G9" s="322"/>
    </row>
    <row r="10" spans="2:7" ht="6" customHeight="1" x14ac:dyDescent="0.35">
      <c r="B10" s="301"/>
      <c r="C10" s="327"/>
      <c r="D10" s="307"/>
      <c r="E10" s="307"/>
      <c r="F10" s="307"/>
      <c r="G10" s="303"/>
    </row>
    <row r="11" spans="2:7" x14ac:dyDescent="0.35">
      <c r="B11" s="301" t="s">
        <v>144</v>
      </c>
      <c r="C11" s="327" t="s">
        <v>147</v>
      </c>
      <c r="D11" s="303"/>
      <c r="E11" s="307"/>
      <c r="F11" s="307"/>
      <c r="G11" s="303"/>
    </row>
    <row r="12" spans="2:7" x14ac:dyDescent="0.35">
      <c r="B12" s="301" t="s">
        <v>129</v>
      </c>
      <c r="C12" s="327"/>
      <c r="D12" s="303">
        <v>588500</v>
      </c>
      <c r="E12" s="303" t="s">
        <v>132</v>
      </c>
      <c r="F12" s="303" t="s">
        <v>127</v>
      </c>
      <c r="G12" s="303" t="s">
        <v>133</v>
      </c>
    </row>
    <row r="13" spans="2:7" x14ac:dyDescent="0.35">
      <c r="B13" s="301" t="s">
        <v>130</v>
      </c>
      <c r="C13" s="327"/>
      <c r="D13" s="303">
        <v>620000</v>
      </c>
      <c r="E13" s="303" t="s">
        <v>132</v>
      </c>
      <c r="F13" s="303" t="s">
        <v>127</v>
      </c>
      <c r="G13" s="303" t="s">
        <v>133</v>
      </c>
    </row>
    <row r="14" spans="2:7" ht="6" customHeight="1" x14ac:dyDescent="0.35">
      <c r="B14" s="321"/>
      <c r="C14" s="328"/>
      <c r="D14" s="322"/>
      <c r="E14" s="322"/>
      <c r="F14" s="322"/>
      <c r="G14" s="322"/>
    </row>
    <row r="15" spans="2:7" ht="6" customHeight="1" x14ac:dyDescent="0.35">
      <c r="B15" s="301"/>
      <c r="C15" s="327"/>
      <c r="D15" s="307"/>
      <c r="E15" s="307"/>
      <c r="F15" s="307"/>
      <c r="G15" s="303"/>
    </row>
    <row r="16" spans="2:7" x14ac:dyDescent="0.35">
      <c r="B16" s="301" t="s">
        <v>143</v>
      </c>
      <c r="C16" s="327" t="s">
        <v>179</v>
      </c>
      <c r="D16" s="303"/>
      <c r="E16" s="307"/>
      <c r="F16" s="307"/>
      <c r="G16" s="303"/>
    </row>
    <row r="17" spans="1:9" x14ac:dyDescent="0.35">
      <c r="B17" s="301" t="s">
        <v>129</v>
      </c>
      <c r="C17" s="327"/>
      <c r="D17" s="303">
        <v>800500</v>
      </c>
      <c r="E17" s="303" t="s">
        <v>134</v>
      </c>
      <c r="F17" s="303" t="s">
        <v>145</v>
      </c>
      <c r="G17" s="303" t="s">
        <v>133</v>
      </c>
    </row>
    <row r="18" spans="1:9" ht="6" customHeight="1" x14ac:dyDescent="0.35">
      <c r="B18" s="321"/>
      <c r="C18" s="328"/>
      <c r="D18" s="322"/>
      <c r="E18" s="322"/>
      <c r="F18" s="322"/>
      <c r="G18" s="322"/>
    </row>
    <row r="19" spans="1:9" ht="6" customHeight="1" x14ac:dyDescent="0.35">
      <c r="B19" s="301"/>
      <c r="C19" s="327"/>
      <c r="D19" s="307"/>
      <c r="E19" s="307"/>
      <c r="F19" s="307"/>
      <c r="G19" s="303"/>
    </row>
    <row r="20" spans="1:9" x14ac:dyDescent="0.35">
      <c r="B20" s="301" t="s">
        <v>131</v>
      </c>
      <c r="C20" s="327" t="s">
        <v>147</v>
      </c>
      <c r="D20" s="303"/>
      <c r="E20" s="307"/>
      <c r="F20" s="307"/>
      <c r="G20" s="303"/>
    </row>
    <row r="21" spans="1:9" x14ac:dyDescent="0.35">
      <c r="B21" s="301" t="s">
        <v>129</v>
      </c>
      <c r="C21" s="327"/>
      <c r="D21" s="303">
        <v>991000</v>
      </c>
      <c r="E21" s="303" t="s">
        <v>134</v>
      </c>
      <c r="F21" s="303" t="s">
        <v>127</v>
      </c>
      <c r="G21" s="303" t="s">
        <v>133</v>
      </c>
    </row>
    <row r="22" spans="1:9" x14ac:dyDescent="0.35">
      <c r="B22" s="301" t="s">
        <v>130</v>
      </c>
      <c r="C22" s="327"/>
      <c r="D22" s="303">
        <v>1033500</v>
      </c>
      <c r="E22" s="303" t="s">
        <v>134</v>
      </c>
      <c r="F22" s="303" t="s">
        <v>127</v>
      </c>
      <c r="G22" s="303" t="s">
        <v>133</v>
      </c>
    </row>
    <row r="23" spans="1:9" ht="6" customHeight="1" x14ac:dyDescent="0.35">
      <c r="B23" s="321"/>
      <c r="C23" s="328"/>
      <c r="D23" s="322"/>
      <c r="E23" s="322"/>
      <c r="F23" s="322"/>
      <c r="G23" s="322"/>
    </row>
    <row r="24" spans="1:9" ht="6" customHeight="1" x14ac:dyDescent="0.35">
      <c r="B24" s="301"/>
      <c r="C24" s="327"/>
      <c r="D24" s="307"/>
      <c r="E24" s="307"/>
      <c r="F24" s="307"/>
      <c r="G24" s="303"/>
    </row>
    <row r="25" spans="1:9" x14ac:dyDescent="0.35">
      <c r="B25" s="301" t="s">
        <v>135</v>
      </c>
      <c r="C25" s="327" t="s">
        <v>147</v>
      </c>
      <c r="D25" s="303"/>
      <c r="E25" s="307"/>
      <c r="F25" s="307"/>
      <c r="G25" s="303"/>
    </row>
    <row r="26" spans="1:9" x14ac:dyDescent="0.35">
      <c r="B26" s="301" t="s">
        <v>233</v>
      </c>
      <c r="C26" s="301"/>
      <c r="D26" s="348">
        <v>203600</v>
      </c>
      <c r="E26" s="303" t="s">
        <v>137</v>
      </c>
      <c r="F26" s="303" t="s">
        <v>136</v>
      </c>
      <c r="G26" s="303" t="s">
        <v>138</v>
      </c>
    </row>
    <row r="27" spans="1:9" ht="6" customHeight="1" x14ac:dyDescent="0.35">
      <c r="B27" s="321"/>
      <c r="C27" s="321"/>
      <c r="D27" s="322"/>
      <c r="E27" s="322"/>
      <c r="F27" s="322"/>
      <c r="G27" s="322"/>
    </row>
    <row r="28" spans="1:9" x14ac:dyDescent="0.35">
      <c r="B28" s="301"/>
      <c r="C28" s="301"/>
      <c r="D28" s="303"/>
      <c r="E28" s="303"/>
      <c r="F28" s="303"/>
      <c r="G28" s="303"/>
    </row>
    <row r="29" spans="1:9" x14ac:dyDescent="0.35">
      <c r="B29" s="301"/>
      <c r="C29" s="301"/>
      <c r="D29" s="303"/>
      <c r="E29" s="303"/>
      <c r="F29" s="303"/>
      <c r="G29" s="303"/>
    </row>
    <row r="30" spans="1:9" ht="14.25" customHeight="1" x14ac:dyDescent="0.35">
      <c r="B30" s="301"/>
      <c r="C30" s="325" t="s">
        <v>112</v>
      </c>
      <c r="D30" s="365" t="s">
        <v>113</v>
      </c>
      <c r="E30" s="366"/>
      <c r="G30" s="295"/>
      <c r="H30" s="297"/>
    </row>
    <row r="31" spans="1:9" x14ac:dyDescent="0.35">
      <c r="B31" s="301"/>
      <c r="C31" s="325"/>
      <c r="D31" s="324"/>
      <c r="E31" s="325"/>
      <c r="G31" s="295"/>
    </row>
    <row r="32" spans="1:9" s="310" customFormat="1" x14ac:dyDescent="0.35">
      <c r="A32" s="314"/>
      <c r="B32" s="301"/>
      <c r="C32" s="385" t="s">
        <v>139</v>
      </c>
      <c r="D32" s="392">
        <v>106000</v>
      </c>
      <c r="E32" s="390" t="s">
        <v>2</v>
      </c>
      <c r="G32" s="295"/>
      <c r="H32" s="295"/>
      <c r="I32" s="295"/>
    </row>
    <row r="33" spans="1:9" s="310" customFormat="1" x14ac:dyDescent="0.35">
      <c r="A33" s="314"/>
      <c r="B33" s="301"/>
      <c r="C33" s="385" t="s">
        <v>140</v>
      </c>
      <c r="D33" s="392">
        <v>159000</v>
      </c>
      <c r="E33" s="390" t="s">
        <v>2</v>
      </c>
      <c r="G33" s="295"/>
      <c r="H33" s="295"/>
      <c r="I33" s="295"/>
    </row>
    <row r="34" spans="1:9" s="310" customFormat="1" x14ac:dyDescent="0.35">
      <c r="B34" s="301"/>
      <c r="C34" s="385" t="s">
        <v>141</v>
      </c>
      <c r="D34" s="392">
        <v>53000</v>
      </c>
      <c r="E34" s="390" t="s">
        <v>142</v>
      </c>
      <c r="G34" s="295"/>
      <c r="H34" s="295"/>
      <c r="I34" s="295"/>
    </row>
    <row r="35" spans="1:9" x14ac:dyDescent="0.35">
      <c r="B35" s="301"/>
      <c r="C35" s="301"/>
      <c r="D35" s="303"/>
      <c r="E35" s="303"/>
      <c r="F35" s="303"/>
      <c r="G35" s="303"/>
    </row>
    <row r="36" spans="1:9" x14ac:dyDescent="0.35">
      <c r="B36" s="301"/>
      <c r="C36" s="301"/>
      <c r="D36" s="303"/>
      <c r="E36" s="303"/>
      <c r="F36" s="303"/>
      <c r="G36" s="303"/>
    </row>
    <row r="37" spans="1:9" x14ac:dyDescent="0.35">
      <c r="B37" s="301"/>
      <c r="C37" s="301"/>
      <c r="D37" s="303"/>
      <c r="E37" s="303"/>
      <c r="F37" s="303"/>
      <c r="G37" s="303"/>
    </row>
    <row r="38" spans="1:9" x14ac:dyDescent="0.35">
      <c r="B38" s="301"/>
      <c r="C38" s="301"/>
      <c r="D38" s="303"/>
      <c r="E38" s="303"/>
      <c r="F38" s="303"/>
      <c r="G38" s="303"/>
    </row>
    <row r="39" spans="1:9" x14ac:dyDescent="0.35">
      <c r="B39" s="301"/>
      <c r="C39" s="301"/>
      <c r="D39" s="303"/>
      <c r="E39" s="303"/>
      <c r="F39" s="303"/>
      <c r="G39" s="303"/>
    </row>
    <row r="40" spans="1:9" x14ac:dyDescent="0.35">
      <c r="G40" s="312" t="s">
        <v>92</v>
      </c>
    </row>
    <row r="41" spans="1:9" x14ac:dyDescent="0.35">
      <c r="A41" s="297"/>
      <c r="B41" s="297"/>
      <c r="C41" s="297"/>
      <c r="D41" s="297"/>
      <c r="E41" s="297"/>
      <c r="F41" s="297"/>
      <c r="G41" s="309" t="str">
        <f>Roller!$G$42</f>
        <v>Price list effective as per 01 June 2026</v>
      </c>
      <c r="H41" s="297"/>
    </row>
    <row r="42" spans="1:9" x14ac:dyDescent="0.35">
      <c r="A42" s="297"/>
      <c r="B42" s="297"/>
      <c r="C42" s="297"/>
      <c r="D42" s="297"/>
      <c r="E42" s="297"/>
      <c r="F42" s="297"/>
      <c r="G42" s="308" t="s">
        <v>98</v>
      </c>
      <c r="H42" s="297"/>
    </row>
    <row r="43" spans="1:9" x14ac:dyDescent="0.35">
      <c r="A43" s="297"/>
      <c r="B43" s="297"/>
      <c r="C43" s="297"/>
      <c r="D43" s="297"/>
      <c r="E43" s="297"/>
      <c r="F43" s="297"/>
      <c r="G43" s="309" t="s">
        <v>99</v>
      </c>
      <c r="H43" s="297"/>
    </row>
    <row r="44" spans="1:9" s="310" customFormat="1" x14ac:dyDescent="0.35">
      <c r="D44" s="311"/>
      <c r="E44" s="311"/>
      <c r="F44" s="311"/>
      <c r="G44" s="311"/>
    </row>
  </sheetData>
  <mergeCells count="2">
    <mergeCell ref="E4:G4"/>
    <mergeCell ref="D30:E30"/>
  </mergeCells>
  <pageMargins left="0.7" right="0.7" top="0.75" bottom="0.75" header="0.3" footer="0.3"/>
  <pageSetup scale="8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086D-0B20-4A2E-A57C-34387D0D9A81}">
  <dimension ref="A1:M36"/>
  <sheetViews>
    <sheetView showGridLines="0" view="pageBreakPreview" zoomScale="115" zoomScaleNormal="100" zoomScaleSheetLayoutView="115" workbookViewId="0">
      <selection activeCell="M20" sqref="M20"/>
    </sheetView>
  </sheetViews>
  <sheetFormatPr defaultColWidth="9.23046875" defaultRowHeight="12.9" x14ac:dyDescent="0.35"/>
  <cols>
    <col min="1" max="1" width="2.074218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07421875" style="295" customWidth="1"/>
    <col min="9" max="9" width="9.23046875" style="295"/>
    <col min="10" max="10" width="12.61328125" style="295" bestFit="1" customWidth="1"/>
    <col min="11" max="11" width="11" style="295" bestFit="1" customWidth="1"/>
    <col min="12" max="12" width="9.23046875" style="295"/>
    <col min="13" max="13" width="10" style="295" bestFit="1" customWidth="1"/>
    <col min="14" max="16384" width="9.23046875" style="295"/>
  </cols>
  <sheetData>
    <row r="1" spans="2:13" ht="30.75" customHeight="1" x14ac:dyDescent="0.6">
      <c r="B1" s="306" t="s">
        <v>165</v>
      </c>
      <c r="C1" s="306"/>
    </row>
    <row r="2" spans="2:13" x14ac:dyDescent="0.35">
      <c r="B2" s="299" t="s">
        <v>115</v>
      </c>
      <c r="C2" s="326"/>
    </row>
    <row r="3" spans="2:13" x14ac:dyDescent="0.35">
      <c r="B3" s="297" t="s">
        <v>93</v>
      </c>
      <c r="C3" s="301"/>
    </row>
    <row r="4" spans="2:13" ht="14.25" customHeight="1" x14ac:dyDescent="0.35">
      <c r="B4" s="304" t="s">
        <v>118</v>
      </c>
      <c r="C4" s="304" t="s">
        <v>146</v>
      </c>
      <c r="D4" s="304" t="s">
        <v>123</v>
      </c>
      <c r="E4" s="369" t="s">
        <v>119</v>
      </c>
      <c r="F4" s="370"/>
      <c r="G4" s="371"/>
    </row>
    <row r="5" spans="2:13" x14ac:dyDescent="0.35">
      <c r="B5" s="305"/>
      <c r="C5" s="305"/>
      <c r="D5" s="305" t="s">
        <v>111</v>
      </c>
      <c r="E5" s="305" t="s">
        <v>120</v>
      </c>
      <c r="F5" s="305" t="s">
        <v>121</v>
      </c>
      <c r="G5" s="305" t="s">
        <v>122</v>
      </c>
      <c r="J5"/>
    </row>
    <row r="6" spans="2:13" ht="6" customHeight="1" x14ac:dyDescent="0.35">
      <c r="B6" s="301"/>
      <c r="C6" s="301"/>
      <c r="D6" s="307"/>
      <c r="E6" s="307"/>
      <c r="F6" s="307"/>
      <c r="G6" s="303"/>
    </row>
    <row r="7" spans="2:13" x14ac:dyDescent="0.35">
      <c r="B7" s="326" t="s">
        <v>162</v>
      </c>
      <c r="C7" s="327"/>
      <c r="D7" s="303"/>
      <c r="E7" s="307"/>
      <c r="F7" s="307"/>
      <c r="G7" s="303"/>
    </row>
    <row r="8" spans="2:13" x14ac:dyDescent="0.35">
      <c r="B8" s="301" t="s">
        <v>163</v>
      </c>
      <c r="C8" s="327" t="s">
        <v>178</v>
      </c>
      <c r="D8" s="303">
        <v>355000</v>
      </c>
      <c r="E8" s="307" t="s">
        <v>168</v>
      </c>
      <c r="F8" s="307" t="s">
        <v>126</v>
      </c>
      <c r="G8" s="303"/>
      <c r="L8" s="331"/>
      <c r="M8" s="298"/>
    </row>
    <row r="9" spans="2:13" x14ac:dyDescent="0.35">
      <c r="B9" s="301" t="s">
        <v>164</v>
      </c>
      <c r="C9" s="327" t="s">
        <v>178</v>
      </c>
      <c r="D9" s="303">
        <v>334000</v>
      </c>
      <c r="E9" s="307" t="s">
        <v>169</v>
      </c>
      <c r="F9" s="307" t="s">
        <v>126</v>
      </c>
      <c r="G9" s="303"/>
      <c r="L9" s="331"/>
      <c r="M9" s="298"/>
    </row>
    <row r="10" spans="2:13" ht="6" customHeight="1" x14ac:dyDescent="0.35">
      <c r="B10" s="321"/>
      <c r="C10" s="328"/>
      <c r="D10" s="322"/>
      <c r="E10" s="322"/>
      <c r="F10" s="322"/>
      <c r="G10" s="322"/>
    </row>
    <row r="11" spans="2:13" ht="6" customHeight="1" x14ac:dyDescent="0.35">
      <c r="B11" s="301"/>
      <c r="C11" s="327"/>
      <c r="D11" s="307"/>
      <c r="E11" s="307"/>
      <c r="F11" s="307"/>
      <c r="G11" s="303"/>
    </row>
    <row r="12" spans="2:13" x14ac:dyDescent="0.35">
      <c r="B12" s="326" t="s">
        <v>166</v>
      </c>
      <c r="C12" s="327"/>
      <c r="D12" s="303"/>
      <c r="E12" s="307"/>
      <c r="F12" s="307"/>
      <c r="G12" s="303"/>
    </row>
    <row r="13" spans="2:13" x14ac:dyDescent="0.35">
      <c r="B13" s="301" t="s">
        <v>163</v>
      </c>
      <c r="C13" s="327"/>
      <c r="D13" s="303">
        <v>302000</v>
      </c>
      <c r="E13" s="307" t="s">
        <v>168</v>
      </c>
      <c r="F13" s="307" t="s">
        <v>126</v>
      </c>
      <c r="G13" s="303"/>
    </row>
    <row r="14" spans="2:13" x14ac:dyDescent="0.35">
      <c r="B14" s="301" t="s">
        <v>164</v>
      </c>
      <c r="C14" s="327"/>
      <c r="D14" s="303">
        <v>291500</v>
      </c>
      <c r="E14" s="307" t="s">
        <v>169</v>
      </c>
      <c r="F14" s="307" t="s">
        <v>126</v>
      </c>
      <c r="G14" s="303"/>
    </row>
    <row r="15" spans="2:13" ht="6" customHeight="1" x14ac:dyDescent="0.35">
      <c r="B15" s="321"/>
      <c r="C15" s="328"/>
      <c r="D15" s="322"/>
      <c r="E15" s="322"/>
      <c r="F15" s="322"/>
      <c r="G15" s="322"/>
    </row>
    <row r="16" spans="2:13" ht="6" customHeight="1" x14ac:dyDescent="0.35">
      <c r="B16" s="301"/>
      <c r="C16" s="327"/>
      <c r="D16" s="307"/>
      <c r="E16" s="307"/>
      <c r="F16" s="307"/>
      <c r="G16" s="303"/>
    </row>
    <row r="17" spans="1:11" x14ac:dyDescent="0.35">
      <c r="B17" s="326" t="s">
        <v>234</v>
      </c>
      <c r="C17" s="327" t="s">
        <v>179</v>
      </c>
      <c r="D17" s="303">
        <v>286200</v>
      </c>
      <c r="E17" s="307" t="s">
        <v>170</v>
      </c>
      <c r="F17" s="307" t="s">
        <v>171</v>
      </c>
      <c r="G17" s="303"/>
    </row>
    <row r="18" spans="1:11" ht="6" customHeight="1" x14ac:dyDescent="0.35">
      <c r="B18" s="321"/>
      <c r="C18" s="328"/>
      <c r="D18" s="322"/>
      <c r="E18" s="322"/>
      <c r="F18" s="322"/>
      <c r="G18" s="322"/>
    </row>
    <row r="19" spans="1:11" ht="6" customHeight="1" x14ac:dyDescent="0.35">
      <c r="B19" s="301"/>
      <c r="C19" s="327"/>
      <c r="D19" s="307"/>
      <c r="E19" s="307"/>
      <c r="F19" s="307"/>
      <c r="G19" s="303"/>
    </row>
    <row r="20" spans="1:11" x14ac:dyDescent="0.35">
      <c r="A20" s="359"/>
      <c r="B20" s="360" t="s">
        <v>222</v>
      </c>
      <c r="C20" s="350" t="s">
        <v>179</v>
      </c>
      <c r="D20" s="348">
        <v>355000</v>
      </c>
      <c r="E20" s="361" t="s">
        <v>224</v>
      </c>
      <c r="F20" s="361" t="s">
        <v>223</v>
      </c>
      <c r="G20" s="348"/>
    </row>
    <row r="21" spans="1:11" ht="6" customHeight="1" x14ac:dyDescent="0.35">
      <c r="B21" s="321"/>
      <c r="C21" s="328"/>
      <c r="D21" s="322"/>
      <c r="E21" s="322"/>
      <c r="F21" s="322"/>
      <c r="G21" s="322"/>
    </row>
    <row r="22" spans="1:11" x14ac:dyDescent="0.35">
      <c r="B22" s="301"/>
      <c r="C22" s="301"/>
      <c r="D22" s="303"/>
      <c r="E22" s="303"/>
      <c r="F22" s="303"/>
      <c r="G22" s="303"/>
    </row>
    <row r="23" spans="1:11" x14ac:dyDescent="0.35">
      <c r="B23" s="301"/>
      <c r="C23" s="301"/>
      <c r="D23" s="303"/>
      <c r="E23" s="303"/>
      <c r="F23" s="303"/>
      <c r="G23" s="303"/>
    </row>
    <row r="24" spans="1:11" ht="14.25" customHeight="1" x14ac:dyDescent="0.35">
      <c r="B24" s="301"/>
      <c r="C24" s="325" t="s">
        <v>112</v>
      </c>
      <c r="D24" s="365" t="s">
        <v>113</v>
      </c>
      <c r="E24" s="366"/>
      <c r="G24" s="295"/>
      <c r="H24" s="297"/>
    </row>
    <row r="25" spans="1:11" x14ac:dyDescent="0.35">
      <c r="B25" s="301"/>
      <c r="C25" s="325"/>
      <c r="D25" s="324"/>
      <c r="E25" s="325"/>
      <c r="G25" s="295"/>
    </row>
    <row r="26" spans="1:11" s="310" customFormat="1" x14ac:dyDescent="0.35">
      <c r="A26" s="314"/>
      <c r="B26" s="301"/>
      <c r="C26" s="316" t="s">
        <v>167</v>
      </c>
      <c r="D26" s="317">
        <v>106000</v>
      </c>
      <c r="E26" s="315" t="s">
        <v>156</v>
      </c>
      <c r="G26" s="295"/>
      <c r="H26" s="295"/>
      <c r="I26" s="295"/>
      <c r="J26" s="295"/>
      <c r="K26" s="295"/>
    </row>
    <row r="27" spans="1:11" x14ac:dyDescent="0.35">
      <c r="B27" s="301"/>
      <c r="C27" s="356" t="s">
        <v>220</v>
      </c>
      <c r="D27" s="357">
        <v>0.2</v>
      </c>
      <c r="E27" s="358" t="s">
        <v>221</v>
      </c>
      <c r="F27" s="303"/>
      <c r="G27" s="303"/>
    </row>
    <row r="28" spans="1:11" x14ac:dyDescent="0.35">
      <c r="B28" s="301"/>
      <c r="C28" s="301"/>
      <c r="D28" s="303"/>
      <c r="E28" s="303"/>
      <c r="F28" s="303"/>
      <c r="G28" s="303"/>
    </row>
    <row r="29" spans="1:11" x14ac:dyDescent="0.35">
      <c r="B29" s="301"/>
      <c r="C29" s="301"/>
      <c r="D29" s="303"/>
      <c r="E29" s="303"/>
      <c r="F29" s="303"/>
      <c r="G29" s="303"/>
    </row>
    <row r="30" spans="1:11" x14ac:dyDescent="0.35">
      <c r="B30" s="301"/>
      <c r="C30" s="301"/>
      <c r="D30" s="303"/>
      <c r="E30" s="303"/>
      <c r="F30" s="303"/>
      <c r="G30" s="303"/>
    </row>
    <row r="31" spans="1:11" x14ac:dyDescent="0.35">
      <c r="B31" s="301"/>
      <c r="C31" s="301"/>
      <c r="D31" s="303"/>
      <c r="E31" s="303"/>
      <c r="F31" s="303"/>
      <c r="G31" s="303"/>
    </row>
    <row r="32" spans="1:11" x14ac:dyDescent="0.35">
      <c r="G32" s="312" t="s">
        <v>92</v>
      </c>
    </row>
    <row r="33" spans="1:8" x14ac:dyDescent="0.35">
      <c r="A33" s="297"/>
      <c r="B33" s="297"/>
      <c r="C33" s="297"/>
      <c r="D33" s="297"/>
      <c r="E33" s="297"/>
      <c r="F33" s="297"/>
      <c r="G33" s="309" t="str">
        <f>Roller!$G$42</f>
        <v>Price list effective as per 01 June 2026</v>
      </c>
      <c r="H33" s="297"/>
    </row>
    <row r="34" spans="1:8" x14ac:dyDescent="0.35">
      <c r="A34" s="297"/>
      <c r="B34" s="297"/>
      <c r="C34" s="297"/>
      <c r="D34" s="297"/>
      <c r="E34" s="297"/>
      <c r="F34" s="297"/>
      <c r="G34" s="308" t="s">
        <v>98</v>
      </c>
      <c r="H34" s="297"/>
    </row>
    <row r="35" spans="1:8" x14ac:dyDescent="0.35">
      <c r="A35" s="297"/>
      <c r="B35" s="297"/>
      <c r="C35" s="297"/>
      <c r="D35" s="297"/>
      <c r="E35" s="297"/>
      <c r="F35" s="297"/>
      <c r="G35" s="309" t="s">
        <v>99</v>
      </c>
      <c r="H35" s="297"/>
    </row>
    <row r="36" spans="1:8" s="310" customFormat="1" x14ac:dyDescent="0.35">
      <c r="D36" s="311"/>
      <c r="E36" s="311"/>
      <c r="F36" s="311"/>
      <c r="G36" s="311"/>
    </row>
  </sheetData>
  <mergeCells count="2">
    <mergeCell ref="E4:G4"/>
    <mergeCell ref="D24:E24"/>
  </mergeCells>
  <pageMargins left="0.7" right="0.7" top="0.75" bottom="0.75" header="0.3" footer="0.3"/>
  <pageSetup scale="8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5A71-8A2B-4F35-9694-995A82D20CE8}">
  <dimension ref="A1:O48"/>
  <sheetViews>
    <sheetView showGridLines="0" view="pageBreakPreview" topLeftCell="A21" zoomScale="115" zoomScaleNormal="100" zoomScaleSheetLayoutView="115" workbookViewId="0">
      <selection activeCell="D41" sqref="D41"/>
    </sheetView>
  </sheetViews>
  <sheetFormatPr defaultColWidth="9.23046875" defaultRowHeight="12.9" x14ac:dyDescent="0.35"/>
  <cols>
    <col min="1" max="1" width="2.07421875" style="294" customWidth="1"/>
    <col min="2" max="2" width="9.69140625" style="295" customWidth="1"/>
    <col min="3" max="3" width="21.23046875" style="295" customWidth="1"/>
    <col min="4" max="4" width="14.4609375" style="296" customWidth="1"/>
    <col min="5" max="7" width="16.53515625" style="296" customWidth="1"/>
    <col min="8" max="8" width="2.07421875" style="295" customWidth="1"/>
    <col min="9" max="13" width="9.23046875" style="295"/>
    <col min="14" max="14" width="10.23046875" style="295" bestFit="1" customWidth="1"/>
    <col min="15" max="15" width="11.61328125" style="295" bestFit="1" customWidth="1"/>
    <col min="16" max="16384" width="9.23046875" style="295"/>
  </cols>
  <sheetData>
    <row r="1" spans="2:7" ht="30.75" customHeight="1" x14ac:dyDescent="0.6">
      <c r="C1" s="306" t="s">
        <v>148</v>
      </c>
    </row>
    <row r="2" spans="2:7" x14ac:dyDescent="0.35">
      <c r="C2" s="299" t="s">
        <v>115</v>
      </c>
    </row>
    <row r="3" spans="2:7" x14ac:dyDescent="0.35">
      <c r="C3" s="297" t="s">
        <v>93</v>
      </c>
    </row>
    <row r="4" spans="2:7" ht="14.25" customHeight="1" x14ac:dyDescent="0.35">
      <c r="C4" s="304" t="s">
        <v>0</v>
      </c>
      <c r="D4" s="304" t="s">
        <v>91</v>
      </c>
      <c r="E4" s="304" t="s">
        <v>149</v>
      </c>
      <c r="F4" s="304" t="s">
        <v>150</v>
      </c>
      <c r="G4" s="304" t="s">
        <v>151</v>
      </c>
    </row>
    <row r="5" spans="2:7" x14ac:dyDescent="0.35">
      <c r="C5" s="305"/>
      <c r="D5" s="305" t="s">
        <v>83</v>
      </c>
      <c r="E5" s="305" t="s">
        <v>111</v>
      </c>
      <c r="F5" s="305" t="s">
        <v>111</v>
      </c>
      <c r="G5" s="305" t="s">
        <v>111</v>
      </c>
    </row>
    <row r="6" spans="2:7" x14ac:dyDescent="0.35">
      <c r="B6" s="300"/>
      <c r="C6" s="301"/>
      <c r="D6" s="302"/>
      <c r="E6" s="364" t="s">
        <v>186</v>
      </c>
      <c r="F6" s="364"/>
      <c r="G6" s="364"/>
    </row>
    <row r="7" spans="2:7" ht="3.65" customHeight="1" x14ac:dyDescent="0.35">
      <c r="B7" s="300"/>
      <c r="C7" s="301"/>
      <c r="D7" s="302"/>
      <c r="E7" s="303"/>
      <c r="F7" s="303"/>
      <c r="G7" s="303"/>
    </row>
    <row r="8" spans="2:7" x14ac:dyDescent="0.35">
      <c r="B8" s="374" t="s">
        <v>86</v>
      </c>
      <c r="C8" s="375" t="s">
        <v>77</v>
      </c>
      <c r="D8" s="376" t="s">
        <v>84</v>
      </c>
      <c r="E8" s="377">
        <v>593500</v>
      </c>
      <c r="F8" s="377">
        <v>625500</v>
      </c>
      <c r="G8" s="377">
        <v>678500</v>
      </c>
    </row>
    <row r="9" spans="2:7" x14ac:dyDescent="0.35">
      <c r="B9" s="374"/>
      <c r="C9" s="375" t="s">
        <v>1</v>
      </c>
      <c r="D9" s="376" t="s">
        <v>85</v>
      </c>
      <c r="E9" s="329" t="s">
        <v>7</v>
      </c>
      <c r="F9" s="377">
        <v>625500</v>
      </c>
      <c r="G9" s="377">
        <v>678500</v>
      </c>
    </row>
    <row r="10" spans="2:7" x14ac:dyDescent="0.35">
      <c r="B10" s="374"/>
      <c r="C10" s="375" t="s">
        <v>78</v>
      </c>
      <c r="D10" s="376" t="s">
        <v>84</v>
      </c>
      <c r="E10" s="377">
        <v>593500</v>
      </c>
      <c r="F10" s="377">
        <v>625500</v>
      </c>
      <c r="G10" s="377">
        <v>678500</v>
      </c>
    </row>
    <row r="11" spans="2:7" x14ac:dyDescent="0.35">
      <c r="B11" s="374"/>
      <c r="C11" s="375" t="s">
        <v>89</v>
      </c>
      <c r="D11" s="376" t="s">
        <v>84</v>
      </c>
      <c r="E11" s="377">
        <v>593500</v>
      </c>
      <c r="F11" s="377">
        <v>625500</v>
      </c>
      <c r="G11" s="377">
        <v>678500</v>
      </c>
    </row>
    <row r="12" spans="2:7" x14ac:dyDescent="0.35">
      <c r="B12" s="374"/>
      <c r="C12" s="375" t="s">
        <v>65</v>
      </c>
      <c r="D12" s="376" t="s">
        <v>84</v>
      </c>
      <c r="E12" s="329" t="s">
        <v>7</v>
      </c>
      <c r="F12" s="377">
        <v>625500</v>
      </c>
      <c r="G12" s="377">
        <v>678500</v>
      </c>
    </row>
    <row r="13" spans="2:7" x14ac:dyDescent="0.35">
      <c r="B13" s="374"/>
      <c r="C13" s="375" t="s">
        <v>71</v>
      </c>
      <c r="D13" s="376" t="s">
        <v>84</v>
      </c>
      <c r="E13" s="377">
        <v>593500</v>
      </c>
      <c r="F13" s="377">
        <v>625500</v>
      </c>
      <c r="G13" s="377">
        <v>678500</v>
      </c>
    </row>
    <row r="14" spans="2:7" x14ac:dyDescent="0.35">
      <c r="B14" s="374"/>
      <c r="C14" s="375" t="s">
        <v>72</v>
      </c>
      <c r="D14" s="376" t="s">
        <v>84</v>
      </c>
      <c r="E14" s="377">
        <v>593500</v>
      </c>
      <c r="F14" s="377">
        <v>625500</v>
      </c>
      <c r="G14" s="377">
        <v>678500</v>
      </c>
    </row>
    <row r="15" spans="2:7" x14ac:dyDescent="0.35">
      <c r="B15" s="374"/>
      <c r="C15" s="375" t="s">
        <v>62</v>
      </c>
      <c r="D15" s="376" t="s">
        <v>84</v>
      </c>
      <c r="E15" s="329" t="s">
        <v>7</v>
      </c>
      <c r="F15" s="377">
        <v>625500</v>
      </c>
      <c r="G15" s="377">
        <v>678500</v>
      </c>
    </row>
    <row r="16" spans="2:7" x14ac:dyDescent="0.35">
      <c r="B16" s="374"/>
      <c r="C16" s="375" t="s">
        <v>66</v>
      </c>
      <c r="D16" s="376" t="s">
        <v>84</v>
      </c>
      <c r="E16" s="329" t="s">
        <v>7</v>
      </c>
      <c r="F16" s="377">
        <v>625500</v>
      </c>
      <c r="G16" s="377">
        <v>678500</v>
      </c>
    </row>
    <row r="17" spans="2:15" x14ac:dyDescent="0.35">
      <c r="B17" s="374"/>
      <c r="C17" s="375" t="s">
        <v>61</v>
      </c>
      <c r="D17" s="376" t="s">
        <v>84</v>
      </c>
      <c r="E17" s="377">
        <v>593500</v>
      </c>
      <c r="F17" s="377">
        <v>625500</v>
      </c>
      <c r="G17" s="377">
        <v>678500</v>
      </c>
    </row>
    <row r="18" spans="2:15" x14ac:dyDescent="0.35">
      <c r="B18" s="374"/>
      <c r="C18" s="375" t="s">
        <v>79</v>
      </c>
      <c r="D18" s="376" t="s">
        <v>84</v>
      </c>
      <c r="E18" s="377">
        <v>593500</v>
      </c>
      <c r="F18" s="377">
        <v>625500</v>
      </c>
      <c r="G18" s="377">
        <v>678500</v>
      </c>
    </row>
    <row r="19" spans="2:15" x14ac:dyDescent="0.35">
      <c r="B19" s="374"/>
      <c r="C19" s="375" t="s">
        <v>68</v>
      </c>
      <c r="D19" s="376" t="s">
        <v>84</v>
      </c>
      <c r="E19" s="377">
        <v>593500</v>
      </c>
      <c r="F19" s="377">
        <v>625500</v>
      </c>
      <c r="G19" s="377">
        <v>678500</v>
      </c>
    </row>
    <row r="20" spans="2:15" x14ac:dyDescent="0.35">
      <c r="B20" s="374"/>
      <c r="C20" s="378" t="s">
        <v>212</v>
      </c>
      <c r="D20" s="379" t="s">
        <v>84</v>
      </c>
      <c r="E20" s="380">
        <v>593500</v>
      </c>
      <c r="F20" s="380">
        <v>625500</v>
      </c>
      <c r="G20" s="380">
        <v>678500</v>
      </c>
    </row>
    <row r="21" spans="2:15" x14ac:dyDescent="0.35">
      <c r="B21" s="374"/>
      <c r="C21" s="378" t="s">
        <v>213</v>
      </c>
      <c r="D21" s="379" t="s">
        <v>84</v>
      </c>
      <c r="E21" s="380">
        <v>593500</v>
      </c>
      <c r="F21" s="380">
        <v>625500</v>
      </c>
      <c r="G21" s="380">
        <v>678500</v>
      </c>
    </row>
    <row r="22" spans="2:15" x14ac:dyDescent="0.35">
      <c r="B22" s="374"/>
      <c r="C22" s="378" t="s">
        <v>214</v>
      </c>
      <c r="D22" s="379" t="s">
        <v>84</v>
      </c>
      <c r="E22" s="380">
        <v>593500</v>
      </c>
      <c r="F22" s="380">
        <v>625500</v>
      </c>
      <c r="G22" s="380">
        <v>678500</v>
      </c>
    </row>
    <row r="23" spans="2:15" x14ac:dyDescent="0.35">
      <c r="B23" s="374"/>
      <c r="C23" s="378" t="s">
        <v>217</v>
      </c>
      <c r="D23" s="379" t="s">
        <v>84</v>
      </c>
      <c r="E23" s="380">
        <v>593500</v>
      </c>
      <c r="F23" s="380">
        <v>625500</v>
      </c>
      <c r="G23" s="380">
        <v>678500</v>
      </c>
    </row>
    <row r="24" spans="2:15" x14ac:dyDescent="0.35">
      <c r="B24" s="374" t="s">
        <v>87</v>
      </c>
      <c r="C24" s="375" t="s">
        <v>74</v>
      </c>
      <c r="D24" s="376" t="s">
        <v>84</v>
      </c>
      <c r="E24" s="329" t="s">
        <v>7</v>
      </c>
      <c r="F24" s="377">
        <v>583000</v>
      </c>
      <c r="G24" s="377">
        <v>636000</v>
      </c>
    </row>
    <row r="25" spans="2:15" x14ac:dyDescent="0.35">
      <c r="B25" s="374"/>
      <c r="C25" s="378" t="s">
        <v>231</v>
      </c>
      <c r="D25" s="379" t="s">
        <v>84</v>
      </c>
      <c r="E25" s="329" t="s">
        <v>7</v>
      </c>
      <c r="F25" s="380">
        <v>583000</v>
      </c>
      <c r="G25" s="380">
        <v>636000</v>
      </c>
    </row>
    <row r="26" spans="2:15" x14ac:dyDescent="0.35">
      <c r="B26" s="374"/>
      <c r="C26" s="375" t="s">
        <v>75</v>
      </c>
      <c r="D26" s="376" t="s">
        <v>84</v>
      </c>
      <c r="E26" s="377">
        <v>551000</v>
      </c>
      <c r="F26" s="377">
        <v>583000</v>
      </c>
      <c r="G26" s="377">
        <v>636000</v>
      </c>
      <c r="N26" s="338"/>
      <c r="O26" s="338"/>
    </row>
    <row r="27" spans="2:15" x14ac:dyDescent="0.35">
      <c r="B27" s="374"/>
      <c r="C27" s="375" t="s">
        <v>76</v>
      </c>
      <c r="D27" s="376" t="s">
        <v>84</v>
      </c>
      <c r="E27" s="377">
        <v>551000</v>
      </c>
      <c r="F27" s="377">
        <v>583000</v>
      </c>
      <c r="G27" s="377">
        <v>636000</v>
      </c>
      <c r="I27" s="298"/>
    </row>
    <row r="28" spans="2:15" x14ac:dyDescent="0.35">
      <c r="B28" s="374" t="s">
        <v>88</v>
      </c>
      <c r="C28" s="375" t="s">
        <v>60</v>
      </c>
      <c r="D28" s="376" t="s">
        <v>84</v>
      </c>
      <c r="E28" s="377">
        <v>498000</v>
      </c>
      <c r="F28" s="377">
        <v>530000</v>
      </c>
      <c r="G28" s="377">
        <v>583000</v>
      </c>
    </row>
    <row r="29" spans="2:15" x14ac:dyDescent="0.35">
      <c r="B29" s="374"/>
      <c r="C29" s="375" t="s">
        <v>69</v>
      </c>
      <c r="D29" s="376" t="s">
        <v>84</v>
      </c>
      <c r="E29" s="377">
        <v>498000</v>
      </c>
      <c r="F29" s="377">
        <v>530000</v>
      </c>
      <c r="G29" s="377">
        <v>583000</v>
      </c>
    </row>
    <row r="30" spans="2:15" x14ac:dyDescent="0.35">
      <c r="B30" s="374"/>
      <c r="C30" s="375" t="s">
        <v>70</v>
      </c>
      <c r="D30" s="376" t="s">
        <v>84</v>
      </c>
      <c r="E30" s="377">
        <v>498000</v>
      </c>
      <c r="F30" s="377">
        <v>530000</v>
      </c>
      <c r="G30" s="377">
        <v>583000</v>
      </c>
    </row>
    <row r="31" spans="2:15" x14ac:dyDescent="0.35">
      <c r="B31" s="374"/>
      <c r="C31" s="375" t="s">
        <v>90</v>
      </c>
      <c r="D31" s="376" t="s">
        <v>84</v>
      </c>
      <c r="E31" s="377">
        <v>498000</v>
      </c>
      <c r="F31" s="377">
        <v>530000</v>
      </c>
      <c r="G31" s="377">
        <v>583000</v>
      </c>
    </row>
    <row r="32" spans="2:15" x14ac:dyDescent="0.35">
      <c r="B32" s="374"/>
      <c r="C32" s="375" t="s">
        <v>63</v>
      </c>
      <c r="D32" s="376" t="s">
        <v>84</v>
      </c>
      <c r="E32" s="329" t="s">
        <v>7</v>
      </c>
      <c r="F32" s="377">
        <v>530000</v>
      </c>
      <c r="G32" s="377">
        <v>583000</v>
      </c>
    </row>
    <row r="33" spans="1:12" x14ac:dyDescent="0.35">
      <c r="B33" s="374"/>
      <c r="C33" s="375" t="s">
        <v>64</v>
      </c>
      <c r="D33" s="376" t="s">
        <v>84</v>
      </c>
      <c r="E33" s="377">
        <v>498000</v>
      </c>
      <c r="F33" s="377">
        <v>530000</v>
      </c>
      <c r="G33" s="377">
        <v>583000</v>
      </c>
    </row>
    <row r="34" spans="1:12" x14ac:dyDescent="0.35">
      <c r="B34" s="374"/>
      <c r="C34" s="375" t="s">
        <v>67</v>
      </c>
      <c r="D34" s="376" t="s">
        <v>84</v>
      </c>
      <c r="E34" s="329" t="s">
        <v>7</v>
      </c>
      <c r="F34" s="377">
        <v>530000</v>
      </c>
      <c r="G34" s="377">
        <v>583000</v>
      </c>
    </row>
    <row r="35" spans="1:12" x14ac:dyDescent="0.35">
      <c r="B35" s="374"/>
      <c r="C35" s="378" t="s">
        <v>215</v>
      </c>
      <c r="D35" s="379" t="s">
        <v>84</v>
      </c>
      <c r="E35" s="380">
        <v>498000</v>
      </c>
      <c r="F35" s="380">
        <v>530000</v>
      </c>
      <c r="G35" s="380">
        <v>583000</v>
      </c>
    </row>
    <row r="36" spans="1:12" x14ac:dyDescent="0.35">
      <c r="B36" s="374"/>
      <c r="C36" s="378" t="s">
        <v>218</v>
      </c>
      <c r="D36" s="379" t="s">
        <v>84</v>
      </c>
      <c r="E36" s="380">
        <v>498000</v>
      </c>
      <c r="F36" s="380">
        <v>530000</v>
      </c>
      <c r="G36" s="380">
        <v>583000</v>
      </c>
    </row>
    <row r="37" spans="1:12" x14ac:dyDescent="0.35">
      <c r="B37" s="300"/>
      <c r="C37" s="301"/>
      <c r="D37" s="302"/>
      <c r="E37" s="303"/>
      <c r="F37" s="303"/>
      <c r="G37" s="303"/>
    </row>
    <row r="38" spans="1:12" s="310" customFormat="1" x14ac:dyDescent="0.35">
      <c r="A38" s="297"/>
      <c r="B38" s="297"/>
      <c r="C38" s="297"/>
      <c r="D38" s="297"/>
      <c r="E38" s="297"/>
      <c r="F38" s="297"/>
      <c r="G38" s="297"/>
      <c r="H38" s="297"/>
      <c r="J38" s="295"/>
      <c r="K38" s="295"/>
      <c r="L38" s="295"/>
    </row>
    <row r="39" spans="1:12" ht="14.25" customHeight="1" x14ac:dyDescent="0.35">
      <c r="C39" s="365" t="s">
        <v>112</v>
      </c>
      <c r="D39" s="366"/>
      <c r="E39" s="365" t="s">
        <v>113</v>
      </c>
      <c r="F39" s="366"/>
      <c r="G39" s="297"/>
    </row>
    <row r="40" spans="1:12" x14ac:dyDescent="0.35">
      <c r="C40" s="367"/>
      <c r="D40" s="368"/>
      <c r="E40" s="367"/>
      <c r="F40" s="368"/>
      <c r="G40" s="297"/>
    </row>
    <row r="41" spans="1:12" s="310" customFormat="1" x14ac:dyDescent="0.35">
      <c r="A41" s="314"/>
      <c r="C41" s="315"/>
      <c r="D41" s="316" t="s">
        <v>3</v>
      </c>
      <c r="E41" s="317">
        <v>106000</v>
      </c>
      <c r="F41" s="315" t="s">
        <v>2</v>
      </c>
      <c r="G41" s="313"/>
      <c r="H41" s="297"/>
      <c r="J41" s="295"/>
      <c r="K41" s="295"/>
      <c r="L41" s="295"/>
    </row>
    <row r="42" spans="1:12" s="310" customFormat="1" x14ac:dyDescent="0.35">
      <c r="A42" s="314"/>
      <c r="C42" s="318"/>
      <c r="D42" s="319" t="s">
        <v>152</v>
      </c>
      <c r="E42" s="330">
        <v>0.1</v>
      </c>
      <c r="F42" s="318" t="s">
        <v>153</v>
      </c>
      <c r="G42" s="313"/>
      <c r="H42" s="297"/>
      <c r="J42" s="295"/>
      <c r="K42" s="295"/>
      <c r="L42" s="295"/>
    </row>
    <row r="43" spans="1:12" s="310" customFormat="1" x14ac:dyDescent="0.35">
      <c r="C43" s="315"/>
      <c r="D43" s="316"/>
      <c r="E43" s="317"/>
      <c r="F43" s="315"/>
      <c r="G43" s="313"/>
      <c r="J43" s="295"/>
      <c r="K43" s="295"/>
      <c r="L43" s="295"/>
    </row>
    <row r="44" spans="1:12" x14ac:dyDescent="0.35">
      <c r="G44" s="312" t="s">
        <v>92</v>
      </c>
    </row>
    <row r="45" spans="1:12" x14ac:dyDescent="0.35">
      <c r="A45" s="297"/>
      <c r="C45" s="297"/>
      <c r="D45" s="297"/>
      <c r="E45" s="297"/>
      <c r="F45" s="297"/>
      <c r="G45" s="309" t="str">
        <f>Roller!$G$42</f>
        <v>Price list effective as per 01 June 2026</v>
      </c>
      <c r="H45" s="297"/>
    </row>
    <row r="46" spans="1:12" x14ac:dyDescent="0.35">
      <c r="A46" s="297"/>
      <c r="C46" s="297"/>
      <c r="D46" s="297"/>
      <c r="E46" s="297"/>
      <c r="F46" s="297"/>
      <c r="G46" s="308" t="s">
        <v>98</v>
      </c>
      <c r="H46" s="297"/>
    </row>
    <row r="47" spans="1:12" x14ac:dyDescent="0.35">
      <c r="A47" s="297"/>
      <c r="C47" s="297"/>
      <c r="D47" s="297"/>
      <c r="E47" s="297"/>
      <c r="F47" s="297"/>
      <c r="G47" s="309" t="s">
        <v>99</v>
      </c>
      <c r="H47" s="297"/>
    </row>
    <row r="48" spans="1:12" s="310" customFormat="1" x14ac:dyDescent="0.35">
      <c r="A48" s="297"/>
      <c r="C48" s="297"/>
      <c r="D48" s="297"/>
      <c r="E48" s="297"/>
      <c r="F48" s="297"/>
      <c r="G48" s="297"/>
      <c r="H48" s="297"/>
    </row>
  </sheetData>
  <mergeCells count="6">
    <mergeCell ref="E6:G6"/>
    <mergeCell ref="B24:B27"/>
    <mergeCell ref="C39:D40"/>
    <mergeCell ref="E39:F40"/>
    <mergeCell ref="B8:B23"/>
    <mergeCell ref="B28:B36"/>
  </mergeCells>
  <pageMargins left="0.7" right="0.7" top="0.75" bottom="0.75" header="0.3" footer="0.3"/>
  <pageSetup scale="9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066B-0D8E-48C6-9FFA-9806E3C63430}">
  <dimension ref="A1:L48"/>
  <sheetViews>
    <sheetView showGridLines="0" view="pageBreakPreview" topLeftCell="A21" zoomScale="115" zoomScaleNormal="100" zoomScaleSheetLayoutView="115" workbookViewId="0">
      <selection activeCell="M21" sqref="M21"/>
    </sheetView>
  </sheetViews>
  <sheetFormatPr defaultColWidth="9.23046875" defaultRowHeight="12.9" x14ac:dyDescent="0.35"/>
  <cols>
    <col min="1" max="1" width="2.07421875" style="294" customWidth="1"/>
    <col min="2" max="2" width="9.69140625" style="295" customWidth="1"/>
    <col min="3" max="3" width="21.23046875" style="295" customWidth="1"/>
    <col min="4" max="4" width="14.4609375" style="296" customWidth="1"/>
    <col min="5" max="7" width="16.53515625" style="296" customWidth="1"/>
    <col min="8" max="8" width="2.07421875" style="295" customWidth="1"/>
    <col min="9" max="16384" width="9.23046875" style="295"/>
  </cols>
  <sheetData>
    <row r="1" spans="2:7" ht="30.75" customHeight="1" x14ac:dyDescent="0.6">
      <c r="C1" s="306" t="s">
        <v>154</v>
      </c>
    </row>
    <row r="2" spans="2:7" x14ac:dyDescent="0.35">
      <c r="C2" s="299" t="s">
        <v>115</v>
      </c>
    </row>
    <row r="3" spans="2:7" x14ac:dyDescent="0.35">
      <c r="C3" s="297" t="s">
        <v>93</v>
      </c>
    </row>
    <row r="4" spans="2:7" ht="14.25" customHeight="1" x14ac:dyDescent="0.35">
      <c r="C4" s="304" t="s">
        <v>0</v>
      </c>
      <c r="D4" s="304" t="s">
        <v>91</v>
      </c>
      <c r="E4" s="304" t="s">
        <v>149</v>
      </c>
      <c r="F4" s="304" t="s">
        <v>150</v>
      </c>
      <c r="G4" s="304" t="s">
        <v>151</v>
      </c>
    </row>
    <row r="5" spans="2:7" x14ac:dyDescent="0.35">
      <c r="C5" s="305"/>
      <c r="D5" s="305" t="s">
        <v>83</v>
      </c>
      <c r="E5" s="305" t="s">
        <v>111</v>
      </c>
      <c r="F5" s="305" t="s">
        <v>111</v>
      </c>
      <c r="G5" s="305" t="s">
        <v>111</v>
      </c>
    </row>
    <row r="6" spans="2:7" x14ac:dyDescent="0.35">
      <c r="B6" s="300"/>
      <c r="C6" s="301"/>
      <c r="D6" s="302"/>
      <c r="E6" s="364" t="s">
        <v>184</v>
      </c>
      <c r="F6" s="364"/>
      <c r="G6" s="364"/>
    </row>
    <row r="7" spans="2:7" ht="3.65" customHeight="1" x14ac:dyDescent="0.35">
      <c r="B7" s="300"/>
      <c r="C7" s="301"/>
      <c r="D7" s="302"/>
      <c r="E7" s="303"/>
      <c r="F7" s="303"/>
      <c r="G7" s="303"/>
    </row>
    <row r="8" spans="2:7" x14ac:dyDescent="0.35">
      <c r="B8" s="374" t="s">
        <v>86</v>
      </c>
      <c r="C8" s="375" t="s">
        <v>73</v>
      </c>
      <c r="D8" s="376" t="s">
        <v>185</v>
      </c>
      <c r="E8" s="377">
        <v>588500</v>
      </c>
      <c r="F8" s="329" t="s">
        <v>7</v>
      </c>
      <c r="G8" s="329" t="s">
        <v>7</v>
      </c>
    </row>
    <row r="9" spans="2:7" x14ac:dyDescent="0.35">
      <c r="B9" s="374"/>
      <c r="C9" s="375" t="s">
        <v>77</v>
      </c>
      <c r="D9" s="376" t="s">
        <v>185</v>
      </c>
      <c r="E9" s="377">
        <v>630500</v>
      </c>
      <c r="F9" s="377">
        <v>726000</v>
      </c>
      <c r="G9" s="377">
        <v>789500</v>
      </c>
    </row>
    <row r="10" spans="2:7" x14ac:dyDescent="0.35">
      <c r="B10" s="374"/>
      <c r="C10" s="375" t="s">
        <v>1</v>
      </c>
      <c r="D10" s="376" t="s">
        <v>185</v>
      </c>
      <c r="E10" s="377">
        <v>630500</v>
      </c>
      <c r="F10" s="377">
        <v>726000</v>
      </c>
      <c r="G10" s="377">
        <v>789500</v>
      </c>
    </row>
    <row r="11" spans="2:7" x14ac:dyDescent="0.35">
      <c r="B11" s="374"/>
      <c r="C11" s="375" t="s">
        <v>78</v>
      </c>
      <c r="D11" s="376" t="s">
        <v>185</v>
      </c>
      <c r="E11" s="377">
        <v>630500</v>
      </c>
      <c r="F11" s="377">
        <v>726000</v>
      </c>
      <c r="G11" s="377">
        <v>789500</v>
      </c>
    </row>
    <row r="12" spans="2:7" x14ac:dyDescent="0.35">
      <c r="B12" s="374"/>
      <c r="C12" s="375" t="s">
        <v>89</v>
      </c>
      <c r="D12" s="376" t="s">
        <v>185</v>
      </c>
      <c r="E12" s="377">
        <v>630500</v>
      </c>
      <c r="F12" s="377">
        <v>726000</v>
      </c>
      <c r="G12" s="377">
        <v>789500</v>
      </c>
    </row>
    <row r="13" spans="2:7" x14ac:dyDescent="0.35">
      <c r="B13" s="374"/>
      <c r="C13" s="375" t="s">
        <v>65</v>
      </c>
      <c r="D13" s="376" t="s">
        <v>185</v>
      </c>
      <c r="E13" s="377">
        <v>630500</v>
      </c>
      <c r="F13" s="377">
        <v>726000</v>
      </c>
      <c r="G13" s="377">
        <v>789500</v>
      </c>
    </row>
    <row r="14" spans="2:7" x14ac:dyDescent="0.35">
      <c r="B14" s="374"/>
      <c r="C14" s="375" t="s">
        <v>71</v>
      </c>
      <c r="D14" s="376" t="s">
        <v>185</v>
      </c>
      <c r="E14" s="377">
        <v>630500</v>
      </c>
      <c r="F14" s="377">
        <v>726000</v>
      </c>
      <c r="G14" s="377">
        <v>789500</v>
      </c>
    </row>
    <row r="15" spans="2:7" x14ac:dyDescent="0.35">
      <c r="B15" s="374"/>
      <c r="C15" s="375" t="s">
        <v>72</v>
      </c>
      <c r="D15" s="376" t="s">
        <v>185</v>
      </c>
      <c r="E15" s="377">
        <v>630500</v>
      </c>
      <c r="F15" s="377">
        <v>726000</v>
      </c>
      <c r="G15" s="377">
        <v>789500</v>
      </c>
    </row>
    <row r="16" spans="2:7" x14ac:dyDescent="0.35">
      <c r="B16" s="374"/>
      <c r="C16" s="375" t="s">
        <v>62</v>
      </c>
      <c r="D16" s="376" t="s">
        <v>185</v>
      </c>
      <c r="E16" s="377">
        <v>630500</v>
      </c>
      <c r="F16" s="377">
        <v>726000</v>
      </c>
      <c r="G16" s="377">
        <v>789500</v>
      </c>
    </row>
    <row r="17" spans="2:9" x14ac:dyDescent="0.35">
      <c r="B17" s="374"/>
      <c r="C17" s="375" t="s">
        <v>66</v>
      </c>
      <c r="D17" s="376" t="s">
        <v>185</v>
      </c>
      <c r="E17" s="377">
        <v>630500</v>
      </c>
      <c r="F17" s="377">
        <v>726000</v>
      </c>
      <c r="G17" s="377">
        <v>789500</v>
      </c>
    </row>
    <row r="18" spans="2:9" x14ac:dyDescent="0.35">
      <c r="B18" s="374"/>
      <c r="C18" s="375" t="s">
        <v>61</v>
      </c>
      <c r="D18" s="376" t="s">
        <v>185</v>
      </c>
      <c r="E18" s="329" t="s">
        <v>7</v>
      </c>
      <c r="F18" s="377">
        <v>726000</v>
      </c>
      <c r="G18" s="377">
        <v>789500</v>
      </c>
    </row>
    <row r="19" spans="2:9" x14ac:dyDescent="0.35">
      <c r="B19" s="374"/>
      <c r="C19" s="375" t="s">
        <v>79</v>
      </c>
      <c r="D19" s="376" t="s">
        <v>185</v>
      </c>
      <c r="E19" s="377">
        <v>630500</v>
      </c>
      <c r="F19" s="377">
        <v>726000</v>
      </c>
      <c r="G19" s="377">
        <v>789500</v>
      </c>
    </row>
    <row r="20" spans="2:9" x14ac:dyDescent="0.35">
      <c r="B20" s="374"/>
      <c r="C20" s="375" t="s">
        <v>68</v>
      </c>
      <c r="D20" s="376" t="s">
        <v>185</v>
      </c>
      <c r="E20" s="377">
        <v>630500</v>
      </c>
      <c r="F20" s="377">
        <v>726000</v>
      </c>
      <c r="G20" s="377">
        <v>789500</v>
      </c>
    </row>
    <row r="21" spans="2:9" x14ac:dyDescent="0.35">
      <c r="B21" s="374"/>
      <c r="C21" s="378" t="s">
        <v>212</v>
      </c>
      <c r="D21" s="379" t="s">
        <v>185</v>
      </c>
      <c r="E21" s="380">
        <v>630500</v>
      </c>
      <c r="F21" s="380">
        <v>726000</v>
      </c>
      <c r="G21" s="380">
        <v>789500</v>
      </c>
    </row>
    <row r="22" spans="2:9" x14ac:dyDescent="0.35">
      <c r="B22" s="374"/>
      <c r="C22" s="378" t="s">
        <v>213</v>
      </c>
      <c r="D22" s="379" t="s">
        <v>185</v>
      </c>
      <c r="E22" s="380">
        <v>630500</v>
      </c>
      <c r="F22" s="380">
        <v>726000</v>
      </c>
      <c r="G22" s="380">
        <v>789500</v>
      </c>
    </row>
    <row r="23" spans="2:9" x14ac:dyDescent="0.35">
      <c r="B23" s="374"/>
      <c r="C23" s="378" t="s">
        <v>214</v>
      </c>
      <c r="D23" s="379" t="s">
        <v>185</v>
      </c>
      <c r="E23" s="380">
        <v>630500</v>
      </c>
      <c r="F23" s="380">
        <v>726000</v>
      </c>
      <c r="G23" s="380">
        <v>789500</v>
      </c>
    </row>
    <row r="24" spans="2:9" x14ac:dyDescent="0.35">
      <c r="B24" s="374"/>
      <c r="C24" s="378" t="s">
        <v>217</v>
      </c>
      <c r="D24" s="379" t="s">
        <v>185</v>
      </c>
      <c r="E24" s="380">
        <v>630500</v>
      </c>
      <c r="F24" s="380">
        <v>726000</v>
      </c>
      <c r="G24" s="380">
        <v>789500</v>
      </c>
    </row>
    <row r="25" spans="2:9" x14ac:dyDescent="0.35">
      <c r="B25" s="374" t="s">
        <v>87</v>
      </c>
      <c r="C25" s="375" t="s">
        <v>74</v>
      </c>
      <c r="D25" s="376" t="s">
        <v>185</v>
      </c>
      <c r="E25" s="377">
        <v>615000</v>
      </c>
      <c r="F25" s="377">
        <v>705000</v>
      </c>
      <c r="G25" s="377">
        <v>768500</v>
      </c>
    </row>
    <row r="26" spans="2:9" x14ac:dyDescent="0.35">
      <c r="B26" s="374"/>
      <c r="C26" s="378" t="s">
        <v>231</v>
      </c>
      <c r="D26" s="379" t="s">
        <v>185</v>
      </c>
      <c r="E26" s="380">
        <v>615000</v>
      </c>
      <c r="F26" s="380">
        <v>705000</v>
      </c>
      <c r="G26" s="380">
        <v>768500</v>
      </c>
    </row>
    <row r="27" spans="2:9" x14ac:dyDescent="0.35">
      <c r="B27" s="374"/>
      <c r="C27" s="375" t="s">
        <v>75</v>
      </c>
      <c r="D27" s="376" t="s">
        <v>185</v>
      </c>
      <c r="E27" s="377">
        <v>615000</v>
      </c>
      <c r="F27" s="377">
        <v>705000</v>
      </c>
      <c r="G27" s="377">
        <v>768500</v>
      </c>
    </row>
    <row r="28" spans="2:9" x14ac:dyDescent="0.35">
      <c r="B28" s="374"/>
      <c r="C28" s="375" t="s">
        <v>76</v>
      </c>
      <c r="D28" s="376" t="s">
        <v>185</v>
      </c>
      <c r="E28" s="377">
        <v>615000</v>
      </c>
      <c r="F28" s="377">
        <v>705000</v>
      </c>
      <c r="G28" s="377">
        <v>768500</v>
      </c>
      <c r="I28" s="298"/>
    </row>
    <row r="29" spans="2:9" x14ac:dyDescent="0.35">
      <c r="B29" s="382" t="s">
        <v>88</v>
      </c>
      <c r="C29" s="375" t="s">
        <v>60</v>
      </c>
      <c r="D29" s="376" t="s">
        <v>185</v>
      </c>
      <c r="E29" s="377">
        <v>535500</v>
      </c>
      <c r="F29" s="377">
        <v>615000</v>
      </c>
      <c r="G29" s="377">
        <v>678500</v>
      </c>
    </row>
    <row r="30" spans="2:9" x14ac:dyDescent="0.35">
      <c r="B30" s="382"/>
      <c r="C30" s="375" t="s">
        <v>69</v>
      </c>
      <c r="D30" s="376" t="s">
        <v>185</v>
      </c>
      <c r="E30" s="377">
        <v>535500</v>
      </c>
      <c r="F30" s="377">
        <v>615000</v>
      </c>
      <c r="G30" s="377">
        <v>678500</v>
      </c>
    </row>
    <row r="31" spans="2:9" x14ac:dyDescent="0.35">
      <c r="B31" s="382"/>
      <c r="C31" s="375" t="s">
        <v>70</v>
      </c>
      <c r="D31" s="376" t="s">
        <v>185</v>
      </c>
      <c r="E31" s="377">
        <v>535500</v>
      </c>
      <c r="F31" s="377">
        <v>615000</v>
      </c>
      <c r="G31" s="377">
        <v>678500</v>
      </c>
    </row>
    <row r="32" spans="2:9" x14ac:dyDescent="0.35">
      <c r="B32" s="382"/>
      <c r="C32" s="375" t="s">
        <v>90</v>
      </c>
      <c r="D32" s="376" t="s">
        <v>185</v>
      </c>
      <c r="E32" s="377">
        <v>535500</v>
      </c>
      <c r="F32" s="377">
        <v>615000</v>
      </c>
      <c r="G32" s="377">
        <v>678500</v>
      </c>
    </row>
    <row r="33" spans="1:12" x14ac:dyDescent="0.35">
      <c r="B33" s="382"/>
      <c r="C33" s="375" t="s">
        <v>63</v>
      </c>
      <c r="D33" s="376" t="s">
        <v>185</v>
      </c>
      <c r="E33" s="377">
        <v>535500</v>
      </c>
      <c r="F33" s="377">
        <v>615000</v>
      </c>
      <c r="G33" s="377">
        <v>678500</v>
      </c>
    </row>
    <row r="34" spans="1:12" x14ac:dyDescent="0.35">
      <c r="B34" s="382"/>
      <c r="C34" s="375" t="s">
        <v>64</v>
      </c>
      <c r="D34" s="376" t="s">
        <v>185</v>
      </c>
      <c r="E34" s="377">
        <v>535500</v>
      </c>
      <c r="F34" s="377">
        <v>615000</v>
      </c>
      <c r="G34" s="377">
        <v>678500</v>
      </c>
    </row>
    <row r="35" spans="1:12" x14ac:dyDescent="0.35">
      <c r="B35" s="382"/>
      <c r="C35" s="375" t="s">
        <v>67</v>
      </c>
      <c r="D35" s="376" t="s">
        <v>185</v>
      </c>
      <c r="E35" s="377">
        <v>535500</v>
      </c>
      <c r="F35" s="377">
        <v>615000</v>
      </c>
      <c r="G35" s="377">
        <v>678500</v>
      </c>
    </row>
    <row r="36" spans="1:12" x14ac:dyDescent="0.35">
      <c r="B36" s="382"/>
      <c r="C36" s="378" t="s">
        <v>215</v>
      </c>
      <c r="D36" s="379" t="s">
        <v>185</v>
      </c>
      <c r="E36" s="380">
        <v>535500</v>
      </c>
      <c r="F36" s="380">
        <v>615000</v>
      </c>
      <c r="G36" s="380">
        <v>678500</v>
      </c>
    </row>
    <row r="37" spans="1:12" x14ac:dyDescent="0.35">
      <c r="B37" s="383"/>
      <c r="C37" s="378" t="s">
        <v>218</v>
      </c>
      <c r="D37" s="379" t="s">
        <v>185</v>
      </c>
      <c r="E37" s="380">
        <v>535500</v>
      </c>
      <c r="F37" s="380">
        <v>615000</v>
      </c>
      <c r="G37" s="380">
        <v>678500</v>
      </c>
    </row>
    <row r="38" spans="1:12" x14ac:dyDescent="0.35">
      <c r="B38" s="300"/>
      <c r="C38" s="301"/>
      <c r="D38" s="302"/>
      <c r="E38" s="303"/>
      <c r="F38" s="303"/>
      <c r="G38" s="303"/>
    </row>
    <row r="39" spans="1:12" s="310" customFormat="1" x14ac:dyDescent="0.35">
      <c r="A39" s="297"/>
      <c r="B39" s="297"/>
      <c r="C39" s="297"/>
      <c r="D39" s="297"/>
      <c r="E39" s="297"/>
      <c r="F39" s="297"/>
      <c r="G39" s="297"/>
      <c r="H39" s="297"/>
      <c r="J39" s="295"/>
      <c r="K39" s="295"/>
      <c r="L39" s="295"/>
    </row>
    <row r="40" spans="1:12" ht="14.25" customHeight="1" x14ac:dyDescent="0.35">
      <c r="C40" s="365" t="s">
        <v>112</v>
      </c>
      <c r="D40" s="366"/>
      <c r="E40" s="365" t="s">
        <v>113</v>
      </c>
      <c r="F40" s="366"/>
      <c r="G40" s="297"/>
    </row>
    <row r="41" spans="1:12" x14ac:dyDescent="0.35">
      <c r="C41" s="367"/>
      <c r="D41" s="368"/>
      <c r="E41" s="367"/>
      <c r="F41" s="368"/>
      <c r="G41" s="297"/>
    </row>
    <row r="42" spans="1:12" s="310" customFormat="1" x14ac:dyDescent="0.35">
      <c r="A42" s="314"/>
      <c r="C42" s="315"/>
      <c r="D42" s="316" t="s">
        <v>155</v>
      </c>
      <c r="E42" s="317">
        <v>265000</v>
      </c>
      <c r="F42" s="315" t="s">
        <v>156</v>
      </c>
      <c r="G42" s="313"/>
      <c r="H42" s="297"/>
      <c r="J42" s="295"/>
      <c r="K42" s="295"/>
      <c r="L42" s="295"/>
    </row>
    <row r="43" spans="1:12" s="310" customFormat="1" x14ac:dyDescent="0.35">
      <c r="C43" s="315"/>
      <c r="D43" s="316"/>
      <c r="E43" s="317"/>
      <c r="F43" s="315"/>
      <c r="G43" s="313"/>
    </row>
    <row r="44" spans="1:12" x14ac:dyDescent="0.35">
      <c r="G44" s="312" t="s">
        <v>92</v>
      </c>
    </row>
    <row r="45" spans="1:12" x14ac:dyDescent="0.35">
      <c r="A45" s="297"/>
      <c r="C45" s="297"/>
      <c r="D45" s="297"/>
      <c r="E45" s="297"/>
      <c r="F45" s="297"/>
      <c r="G45" s="309" t="str">
        <f>Roller!$G$42</f>
        <v>Price list effective as per 01 June 2026</v>
      </c>
      <c r="H45" s="297"/>
    </row>
    <row r="46" spans="1:12" x14ac:dyDescent="0.35">
      <c r="A46" s="297"/>
      <c r="C46" s="297"/>
      <c r="D46" s="297"/>
      <c r="E46" s="297"/>
      <c r="F46" s="297"/>
      <c r="G46" s="308" t="s">
        <v>98</v>
      </c>
      <c r="H46" s="297"/>
    </row>
    <row r="47" spans="1:12" x14ac:dyDescent="0.35">
      <c r="A47" s="297"/>
      <c r="C47" s="297"/>
      <c r="D47" s="297"/>
      <c r="E47" s="297"/>
      <c r="F47" s="297"/>
      <c r="G47" s="309" t="s">
        <v>99</v>
      </c>
      <c r="H47" s="297"/>
    </row>
    <row r="48" spans="1:12" s="310" customFormat="1" x14ac:dyDescent="0.35">
      <c r="A48" s="297"/>
      <c r="C48" s="297"/>
      <c r="D48" s="297"/>
      <c r="E48" s="297"/>
      <c r="F48" s="297"/>
      <c r="G48" s="297"/>
      <c r="H48" s="297"/>
    </row>
  </sheetData>
  <mergeCells count="6">
    <mergeCell ref="E6:G6"/>
    <mergeCell ref="B25:B28"/>
    <mergeCell ref="C40:D41"/>
    <mergeCell ref="E40:F41"/>
    <mergeCell ref="B8:B24"/>
    <mergeCell ref="B29:B37"/>
  </mergeCells>
  <pageMargins left="0.7" right="0.7" top="0.75" bottom="0.75" header="0.3" footer="0.3"/>
  <pageSetup scale="9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54B7-6A65-4E99-BFFE-ADF43058922D}">
  <dimension ref="A1:O35"/>
  <sheetViews>
    <sheetView showGridLines="0" view="pageBreakPreview" zoomScale="115" zoomScaleNormal="100" zoomScaleSheetLayoutView="115" workbookViewId="0">
      <selection activeCell="K31" sqref="K31"/>
    </sheetView>
  </sheetViews>
  <sheetFormatPr defaultColWidth="9.23046875" defaultRowHeight="12.9" x14ac:dyDescent="0.35"/>
  <cols>
    <col min="1" max="1" width="2.074218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07421875" style="295" customWidth="1"/>
    <col min="9" max="14" width="9.23046875" style="295"/>
    <col min="15" max="15" width="11.4609375" style="295" bestFit="1" customWidth="1"/>
    <col min="16" max="16384" width="9.23046875" style="295"/>
  </cols>
  <sheetData>
    <row r="1" spans="2:15" ht="30.75" customHeight="1" x14ac:dyDescent="0.6">
      <c r="B1" s="306" t="s">
        <v>157</v>
      </c>
      <c r="C1" s="306"/>
    </row>
    <row r="2" spans="2:15" x14ac:dyDescent="0.35">
      <c r="B2" s="299" t="s">
        <v>115</v>
      </c>
      <c r="C2" s="326"/>
    </row>
    <row r="3" spans="2:15" x14ac:dyDescent="0.35">
      <c r="B3" s="297" t="s">
        <v>93</v>
      </c>
      <c r="C3" s="301"/>
    </row>
    <row r="4" spans="2:15" ht="14.25" customHeight="1" x14ac:dyDescent="0.35">
      <c r="B4" s="304" t="s">
        <v>118</v>
      </c>
      <c r="C4" s="304" t="s">
        <v>146</v>
      </c>
      <c r="D4" s="304" t="s">
        <v>123</v>
      </c>
      <c r="E4" s="369" t="s">
        <v>119</v>
      </c>
      <c r="F4" s="370"/>
      <c r="G4" s="371"/>
    </row>
    <row r="5" spans="2:15" x14ac:dyDescent="0.35">
      <c r="B5" s="305"/>
      <c r="C5" s="305"/>
      <c r="D5" s="305" t="s">
        <v>111</v>
      </c>
      <c r="E5" s="305" t="s">
        <v>120</v>
      </c>
      <c r="F5" s="305" t="s">
        <v>121</v>
      </c>
      <c r="G5" s="305" t="s">
        <v>122</v>
      </c>
    </row>
    <row r="6" spans="2:15" ht="6" customHeight="1" x14ac:dyDescent="0.35">
      <c r="B6" s="301"/>
      <c r="C6" s="301"/>
      <c r="D6" s="307"/>
      <c r="E6" s="307"/>
      <c r="F6" s="307"/>
      <c r="G6" s="303"/>
    </row>
    <row r="7" spans="2:15" x14ac:dyDescent="0.35">
      <c r="B7" s="301" t="s">
        <v>158</v>
      </c>
      <c r="C7" s="327" t="s">
        <v>180</v>
      </c>
      <c r="D7" s="303">
        <v>731500</v>
      </c>
      <c r="E7" s="307" t="s">
        <v>126</v>
      </c>
      <c r="F7" s="307" t="s">
        <v>175</v>
      </c>
      <c r="G7" s="303" t="s">
        <v>172</v>
      </c>
    </row>
    <row r="8" spans="2:15" x14ac:dyDescent="0.35">
      <c r="B8" s="301" t="s">
        <v>159</v>
      </c>
      <c r="C8" s="327"/>
      <c r="D8" s="303">
        <v>922000</v>
      </c>
      <c r="E8" s="307" t="s">
        <v>126</v>
      </c>
      <c r="F8" s="307" t="s">
        <v>175</v>
      </c>
      <c r="G8" s="303" t="s">
        <v>172</v>
      </c>
      <c r="M8" s="298"/>
      <c r="N8" s="298"/>
      <c r="O8" s="338"/>
    </row>
    <row r="9" spans="2:15" ht="6" customHeight="1" x14ac:dyDescent="0.35">
      <c r="B9" s="321"/>
      <c r="C9" s="328"/>
      <c r="D9" s="322"/>
      <c r="E9" s="322"/>
      <c r="F9" s="322"/>
      <c r="G9" s="322"/>
    </row>
    <row r="10" spans="2:15" ht="6" customHeight="1" x14ac:dyDescent="0.35">
      <c r="B10" s="301"/>
      <c r="C10" s="327"/>
      <c r="D10" s="307"/>
      <c r="E10" s="307"/>
      <c r="F10" s="307"/>
      <c r="G10" s="303"/>
    </row>
    <row r="11" spans="2:15" x14ac:dyDescent="0.35">
      <c r="B11" s="301" t="s">
        <v>158</v>
      </c>
      <c r="C11" s="327" t="s">
        <v>160</v>
      </c>
      <c r="D11" s="303">
        <v>1070500</v>
      </c>
      <c r="E11" s="307" t="s">
        <v>134</v>
      </c>
      <c r="F11" s="307" t="s">
        <v>174</v>
      </c>
      <c r="G11" s="303" t="s">
        <v>173</v>
      </c>
    </row>
    <row r="12" spans="2:15" x14ac:dyDescent="0.35">
      <c r="B12" s="301" t="s">
        <v>159</v>
      </c>
      <c r="C12" s="327"/>
      <c r="D12" s="303">
        <v>1367500</v>
      </c>
      <c r="E12" s="307" t="s">
        <v>134</v>
      </c>
      <c r="F12" s="307" t="s">
        <v>174</v>
      </c>
      <c r="G12" s="303" t="s">
        <v>173</v>
      </c>
    </row>
    <row r="13" spans="2:15" ht="6" customHeight="1" x14ac:dyDescent="0.35">
      <c r="B13" s="321"/>
      <c r="C13" s="328"/>
      <c r="D13" s="322"/>
      <c r="E13" s="322"/>
      <c r="F13" s="322"/>
      <c r="G13" s="322"/>
    </row>
    <row r="14" spans="2:15" x14ac:dyDescent="0.35">
      <c r="B14" s="301"/>
      <c r="C14" s="301"/>
      <c r="D14" s="303"/>
      <c r="E14" s="303"/>
      <c r="F14" s="303"/>
      <c r="G14" s="303"/>
    </row>
    <row r="15" spans="2:15" x14ac:dyDescent="0.35">
      <c r="B15" s="301"/>
      <c r="C15" s="301"/>
      <c r="D15" s="303"/>
      <c r="E15" s="303"/>
      <c r="F15" s="303"/>
      <c r="G15" s="303"/>
    </row>
    <row r="16" spans="2:15" ht="14.25" customHeight="1" x14ac:dyDescent="0.35">
      <c r="B16" s="301"/>
      <c r="C16" s="325" t="s">
        <v>112</v>
      </c>
      <c r="D16" s="365" t="s">
        <v>113</v>
      </c>
      <c r="E16" s="366"/>
      <c r="G16" s="295"/>
      <c r="H16" s="297"/>
    </row>
    <row r="17" spans="1:12" x14ac:dyDescent="0.35">
      <c r="B17" s="301"/>
      <c r="C17" s="325"/>
      <c r="D17" s="324"/>
      <c r="E17" s="325"/>
      <c r="G17" s="295"/>
    </row>
    <row r="18" spans="1:12" s="310" customFormat="1" x14ac:dyDescent="0.35">
      <c r="A18" s="314"/>
      <c r="B18" s="301"/>
      <c r="C18" s="316" t="s">
        <v>161</v>
      </c>
      <c r="D18" s="303">
        <v>106000</v>
      </c>
      <c r="E18" s="315" t="s">
        <v>2</v>
      </c>
      <c r="G18" s="295"/>
      <c r="H18" s="295"/>
      <c r="I18" s="295"/>
      <c r="J18" s="295"/>
      <c r="K18" s="295"/>
      <c r="L18" s="295"/>
    </row>
    <row r="19" spans="1:12" x14ac:dyDescent="0.35">
      <c r="B19" s="301"/>
      <c r="C19" s="301"/>
      <c r="D19" s="303"/>
      <c r="E19" s="303"/>
      <c r="F19" s="303"/>
      <c r="G19" s="303"/>
    </row>
    <row r="20" spans="1:12" x14ac:dyDescent="0.35">
      <c r="B20" s="395"/>
      <c r="C20" s="396" t="s">
        <v>198</v>
      </c>
      <c r="D20" s="303">
        <v>371000</v>
      </c>
      <c r="E20" s="398" t="s">
        <v>203</v>
      </c>
      <c r="F20" s="397"/>
      <c r="G20" s="397"/>
    </row>
    <row r="21" spans="1:12" x14ac:dyDescent="0.35">
      <c r="B21" s="395"/>
      <c r="C21" s="399" t="s">
        <v>202</v>
      </c>
      <c r="D21" s="397"/>
      <c r="E21" s="398"/>
      <c r="F21" s="397"/>
      <c r="G21" s="397"/>
    </row>
    <row r="22" spans="1:12" x14ac:dyDescent="0.35">
      <c r="B22" s="395"/>
      <c r="C22" s="396" t="s">
        <v>199</v>
      </c>
      <c r="D22" s="303">
        <v>1007000</v>
      </c>
      <c r="E22" s="398" t="s">
        <v>203</v>
      </c>
      <c r="F22" s="397"/>
      <c r="G22" s="397"/>
    </row>
    <row r="23" spans="1:12" x14ac:dyDescent="0.35">
      <c r="C23" s="295" t="s">
        <v>204</v>
      </c>
    </row>
    <row r="24" spans="1:12" x14ac:dyDescent="0.35">
      <c r="B24" s="395"/>
      <c r="C24" s="399"/>
      <c r="D24" s="397"/>
      <c r="E24" s="398"/>
      <c r="F24" s="397"/>
      <c r="G24" s="397"/>
    </row>
    <row r="25" spans="1:12" x14ac:dyDescent="0.35">
      <c r="B25" s="395"/>
      <c r="C25" s="396" t="s">
        <v>200</v>
      </c>
      <c r="D25" s="303">
        <v>371000</v>
      </c>
      <c r="E25" s="398" t="s">
        <v>203</v>
      </c>
      <c r="F25" s="397"/>
      <c r="G25" s="397"/>
    </row>
    <row r="26" spans="1:12" x14ac:dyDescent="0.35">
      <c r="C26" s="399" t="s">
        <v>202</v>
      </c>
      <c r="G26" s="295"/>
    </row>
    <row r="27" spans="1:12" x14ac:dyDescent="0.35">
      <c r="B27" s="395"/>
      <c r="C27" s="396" t="s">
        <v>201</v>
      </c>
      <c r="D27" s="303">
        <v>1007000</v>
      </c>
      <c r="E27" s="398" t="s">
        <v>203</v>
      </c>
      <c r="F27" s="397"/>
      <c r="G27" s="397"/>
    </row>
    <row r="28" spans="1:12" x14ac:dyDescent="0.35">
      <c r="C28" s="399" t="s">
        <v>204</v>
      </c>
      <c r="G28" s="295"/>
    </row>
    <row r="29" spans="1:12" x14ac:dyDescent="0.35">
      <c r="C29" s="399" t="s">
        <v>205</v>
      </c>
      <c r="G29" s="400"/>
    </row>
    <row r="30" spans="1:12" x14ac:dyDescent="0.35">
      <c r="C30" s="351"/>
      <c r="G30" s="312"/>
    </row>
    <row r="31" spans="1:12" x14ac:dyDescent="0.35">
      <c r="C31" s="351"/>
      <c r="G31" s="312" t="s">
        <v>92</v>
      </c>
    </row>
    <row r="32" spans="1:12" x14ac:dyDescent="0.35">
      <c r="A32" s="297"/>
      <c r="B32" s="297"/>
      <c r="C32" s="297"/>
      <c r="D32" s="297"/>
      <c r="E32" s="297"/>
      <c r="F32" s="297"/>
      <c r="G32" s="309" t="str">
        <f>Roller!$G$42</f>
        <v>Price list effective as per 01 June 2026</v>
      </c>
      <c r="H32" s="297"/>
    </row>
    <row r="33" spans="1:8" x14ac:dyDescent="0.35">
      <c r="A33" s="297"/>
      <c r="B33" s="297"/>
      <c r="C33" s="297"/>
      <c r="D33" s="297"/>
      <c r="E33" s="297"/>
      <c r="F33" s="297"/>
      <c r="G33" s="308" t="s">
        <v>98</v>
      </c>
      <c r="H33" s="297"/>
    </row>
    <row r="34" spans="1:8" x14ac:dyDescent="0.35">
      <c r="A34" s="297"/>
      <c r="B34" s="297"/>
      <c r="C34" s="297"/>
      <c r="D34" s="297"/>
      <c r="E34" s="297"/>
      <c r="F34" s="297"/>
      <c r="G34" s="309" t="s">
        <v>99</v>
      </c>
      <c r="H34" s="297"/>
    </row>
    <row r="35" spans="1:8" s="310" customFormat="1" x14ac:dyDescent="0.35">
      <c r="D35" s="311"/>
      <c r="E35" s="311"/>
      <c r="F35" s="311"/>
      <c r="G35" s="311"/>
    </row>
  </sheetData>
  <mergeCells count="2">
    <mergeCell ref="E4:G4"/>
    <mergeCell ref="D16:E16"/>
  </mergeCells>
  <pageMargins left="0.7" right="0.7" top="0.75" bottom="0.75" header="0.3" footer="0.3"/>
  <pageSetup scale="8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61A4-60BD-4BF4-8B87-039A90B00BC9}">
  <sheetPr>
    <tabColor rgb="FFFF0000"/>
  </sheetPr>
  <dimension ref="A1:O44"/>
  <sheetViews>
    <sheetView showGridLines="0" view="pageBreakPreview" zoomScale="115" zoomScaleNormal="100" zoomScaleSheetLayoutView="115" workbookViewId="0">
      <selection activeCell="G21" sqref="G21"/>
    </sheetView>
  </sheetViews>
  <sheetFormatPr defaultColWidth="9.23046875" defaultRowHeight="12.9" x14ac:dyDescent="0.35"/>
  <cols>
    <col min="1" max="1" width="2.074218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07421875" style="295" customWidth="1"/>
    <col min="9" max="9" width="9.23046875" style="295"/>
    <col min="10" max="10" width="11.61328125" style="295" bestFit="1" customWidth="1"/>
    <col min="11" max="11" width="9.23046875" style="295"/>
    <col min="12" max="12" width="10.23046875" style="295" bestFit="1" customWidth="1"/>
    <col min="13" max="14" width="9.23046875" style="295"/>
    <col min="15" max="15" width="11.4609375" style="295" bestFit="1" customWidth="1"/>
    <col min="16" max="16384" width="9.23046875" style="295"/>
  </cols>
  <sheetData>
    <row r="1" spans="2:15" ht="30.75" customHeight="1" x14ac:dyDescent="0.6">
      <c r="B1" s="306" t="s">
        <v>225</v>
      </c>
      <c r="C1" s="306"/>
    </row>
    <row r="2" spans="2:15" x14ac:dyDescent="0.35">
      <c r="B2" s="299" t="s">
        <v>115</v>
      </c>
      <c r="C2" s="326"/>
    </row>
    <row r="3" spans="2:15" x14ac:dyDescent="0.35">
      <c r="B3" s="297" t="s">
        <v>93</v>
      </c>
      <c r="C3" s="301"/>
    </row>
    <row r="4" spans="2:15" ht="14.25" customHeight="1" x14ac:dyDescent="0.35">
      <c r="B4" s="304" t="s">
        <v>226</v>
      </c>
      <c r="C4" s="304" t="s">
        <v>123</v>
      </c>
      <c r="D4" s="355" t="s">
        <v>226</v>
      </c>
      <c r="E4" s="307"/>
      <c r="F4" s="307"/>
    </row>
    <row r="5" spans="2:15" x14ac:dyDescent="0.35">
      <c r="B5" s="305"/>
      <c r="C5" s="305" t="s">
        <v>268</v>
      </c>
      <c r="D5" s="305" t="s">
        <v>120</v>
      </c>
      <c r="E5" s="307"/>
      <c r="F5" s="307"/>
    </row>
    <row r="6" spans="2:15" ht="6" customHeight="1" x14ac:dyDescent="0.35">
      <c r="B6" s="301"/>
      <c r="C6" s="307"/>
      <c r="D6" s="307"/>
      <c r="E6" s="307"/>
      <c r="F6" s="307"/>
    </row>
    <row r="7" spans="2:15" x14ac:dyDescent="0.35">
      <c r="B7" s="411" t="s">
        <v>262</v>
      </c>
      <c r="C7" s="348"/>
      <c r="D7" s="361"/>
      <c r="E7" s="307"/>
      <c r="F7" s="307"/>
    </row>
    <row r="8" spans="2:15" x14ac:dyDescent="0.35">
      <c r="B8" s="354" t="s">
        <v>253</v>
      </c>
      <c r="C8" s="348">
        <v>67000</v>
      </c>
      <c r="D8" s="361" t="s">
        <v>264</v>
      </c>
      <c r="E8" s="307"/>
      <c r="F8" s="303"/>
    </row>
    <row r="9" spans="2:15" x14ac:dyDescent="0.35">
      <c r="B9" s="354" t="s">
        <v>254</v>
      </c>
      <c r="C9" s="348">
        <v>48000</v>
      </c>
      <c r="D9" s="361" t="s">
        <v>265</v>
      </c>
      <c r="E9" s="307"/>
      <c r="F9" s="303"/>
      <c r="J9" s="331"/>
      <c r="M9" s="298"/>
      <c r="N9" s="298"/>
      <c r="O9" s="338"/>
    </row>
    <row r="10" spans="2:15" x14ac:dyDescent="0.35">
      <c r="B10" s="354" t="s">
        <v>255</v>
      </c>
      <c r="C10" s="348">
        <v>31000</v>
      </c>
      <c r="D10" s="361" t="s">
        <v>265</v>
      </c>
      <c r="E10" s="307"/>
      <c r="F10" s="303"/>
      <c r="J10" s="331"/>
      <c r="M10" s="298"/>
      <c r="N10" s="298"/>
      <c r="O10" s="338"/>
    </row>
    <row r="11" spans="2:15" x14ac:dyDescent="0.35">
      <c r="B11" s="354" t="s">
        <v>256</v>
      </c>
      <c r="C11" s="348">
        <v>48000</v>
      </c>
      <c r="D11" s="361" t="s">
        <v>266</v>
      </c>
      <c r="E11" s="307"/>
      <c r="F11" s="303"/>
      <c r="J11" s="331"/>
      <c r="M11" s="298"/>
      <c r="N11" s="298"/>
      <c r="O11" s="338"/>
    </row>
    <row r="12" spans="2:15" x14ac:dyDescent="0.35">
      <c r="B12" s="354" t="s">
        <v>257</v>
      </c>
      <c r="C12" s="348">
        <v>35000</v>
      </c>
      <c r="D12" s="361" t="s">
        <v>267</v>
      </c>
      <c r="E12" s="307"/>
      <c r="F12" s="303"/>
      <c r="J12" s="331"/>
      <c r="M12" s="298"/>
      <c r="N12" s="298"/>
      <c r="O12" s="338"/>
    </row>
    <row r="13" spans="2:15" x14ac:dyDescent="0.35">
      <c r="B13" s="354"/>
      <c r="C13" s="348"/>
      <c r="D13" s="361"/>
      <c r="E13" s="307"/>
      <c r="F13" s="303"/>
      <c r="J13" s="331"/>
      <c r="M13" s="298"/>
      <c r="N13" s="298"/>
      <c r="O13" s="338"/>
    </row>
    <row r="14" spans="2:15" x14ac:dyDescent="0.35">
      <c r="B14" s="411" t="s">
        <v>263</v>
      </c>
      <c r="C14" s="348"/>
      <c r="D14" s="361"/>
      <c r="E14" s="307"/>
      <c r="F14" s="303"/>
    </row>
    <row r="15" spans="2:15" x14ac:dyDescent="0.35">
      <c r="B15" s="354" t="s">
        <v>258</v>
      </c>
      <c r="C15" s="348">
        <v>121000</v>
      </c>
      <c r="D15" s="361" t="s">
        <v>265</v>
      </c>
      <c r="E15" s="307"/>
      <c r="F15" s="303"/>
      <c r="J15" s="331"/>
      <c r="M15" s="298"/>
      <c r="N15" s="298"/>
      <c r="O15" s="338"/>
    </row>
    <row r="16" spans="2:15" x14ac:dyDescent="0.35">
      <c r="B16" s="354" t="s">
        <v>259</v>
      </c>
      <c r="C16" s="348">
        <v>120000</v>
      </c>
      <c r="D16" s="361" t="s">
        <v>265</v>
      </c>
      <c r="E16" s="307"/>
      <c r="F16" s="303"/>
      <c r="J16" s="331"/>
      <c r="M16" s="298"/>
      <c r="N16" s="298"/>
      <c r="O16" s="338"/>
    </row>
    <row r="17" spans="1:15" x14ac:dyDescent="0.35">
      <c r="B17" s="354" t="s">
        <v>260</v>
      </c>
      <c r="C17" s="348">
        <v>121000</v>
      </c>
      <c r="D17" s="361" t="s">
        <v>265</v>
      </c>
      <c r="E17" s="307"/>
      <c r="F17" s="303"/>
      <c r="J17" s="331"/>
      <c r="M17" s="298"/>
      <c r="N17" s="298"/>
      <c r="O17" s="338"/>
    </row>
    <row r="18" spans="1:15" x14ac:dyDescent="0.35">
      <c r="B18" s="354" t="s">
        <v>261</v>
      </c>
      <c r="C18" s="348">
        <v>108000</v>
      </c>
      <c r="D18" s="361" t="s">
        <v>265</v>
      </c>
      <c r="E18" s="307"/>
      <c r="F18" s="303"/>
      <c r="J18" s="331"/>
      <c r="M18" s="298"/>
      <c r="N18" s="298"/>
      <c r="O18" s="338"/>
    </row>
    <row r="19" spans="1:15" x14ac:dyDescent="0.35">
      <c r="B19" s="301"/>
      <c r="C19" s="303"/>
      <c r="D19" s="307"/>
      <c r="E19" s="307"/>
      <c r="F19" s="303"/>
      <c r="J19" s="331"/>
      <c r="M19" s="298"/>
      <c r="N19" s="298"/>
      <c r="O19" s="338"/>
    </row>
    <row r="20" spans="1:15" x14ac:dyDescent="0.35">
      <c r="B20" s="301"/>
      <c r="C20" s="303"/>
      <c r="D20" s="307"/>
      <c r="E20" s="307"/>
      <c r="F20" s="303"/>
      <c r="J20" s="331"/>
      <c r="M20" s="298"/>
      <c r="N20" s="298"/>
      <c r="O20" s="338"/>
    </row>
    <row r="21" spans="1:15" x14ac:dyDescent="0.35">
      <c r="B21" s="301"/>
      <c r="C21" s="301"/>
      <c r="D21" s="303"/>
      <c r="E21" s="303"/>
      <c r="F21" s="303"/>
      <c r="G21" s="303"/>
    </row>
    <row r="22" spans="1:15" ht="14.25" customHeight="1" x14ac:dyDescent="0.35">
      <c r="B22" s="301"/>
      <c r="C22" s="325" t="s">
        <v>112</v>
      </c>
      <c r="D22" s="365" t="s">
        <v>113</v>
      </c>
      <c r="E22" s="366"/>
      <c r="G22" s="295"/>
      <c r="H22" s="297"/>
    </row>
    <row r="23" spans="1:15" x14ac:dyDescent="0.35">
      <c r="B23" s="301"/>
      <c r="C23" s="325"/>
      <c r="D23" s="324"/>
      <c r="E23" s="325"/>
      <c r="G23" s="295"/>
    </row>
    <row r="24" spans="1:15" s="310" customFormat="1" x14ac:dyDescent="0.35">
      <c r="A24" s="314"/>
      <c r="B24" s="301"/>
      <c r="C24" s="356" t="s">
        <v>269</v>
      </c>
      <c r="D24" s="332">
        <v>115000</v>
      </c>
      <c r="E24" s="358" t="s">
        <v>270</v>
      </c>
      <c r="G24" s="295"/>
      <c r="H24" s="295"/>
      <c r="I24" s="295"/>
      <c r="J24" s="295"/>
    </row>
    <row r="25" spans="1:15" x14ac:dyDescent="0.35">
      <c r="B25" s="301"/>
      <c r="C25" s="354" t="s">
        <v>271</v>
      </c>
      <c r="D25" s="348"/>
      <c r="E25" s="348"/>
      <c r="F25" s="303"/>
      <c r="G25" s="303"/>
    </row>
    <row r="26" spans="1:15" x14ac:dyDescent="0.35">
      <c r="B26" s="301"/>
      <c r="C26" s="350"/>
      <c r="D26" s="348"/>
      <c r="E26" s="349"/>
      <c r="F26" s="303"/>
      <c r="G26" s="303"/>
    </row>
    <row r="27" spans="1:15" x14ac:dyDescent="0.35">
      <c r="B27" s="301"/>
      <c r="C27" s="351"/>
      <c r="D27" s="348"/>
      <c r="E27" s="349"/>
      <c r="F27" s="303"/>
      <c r="G27" s="303"/>
    </row>
    <row r="28" spans="1:15" x14ac:dyDescent="0.35">
      <c r="C28" s="351"/>
      <c r="G28" s="295"/>
    </row>
    <row r="29" spans="1:15" x14ac:dyDescent="0.35">
      <c r="C29" s="351"/>
      <c r="G29" s="312"/>
    </row>
    <row r="30" spans="1:15" x14ac:dyDescent="0.35">
      <c r="C30" s="351"/>
      <c r="G30" s="312"/>
    </row>
    <row r="31" spans="1:15" x14ac:dyDescent="0.35">
      <c r="C31" s="351"/>
      <c r="G31" s="312" t="s">
        <v>92</v>
      </c>
    </row>
    <row r="32" spans="1:15" x14ac:dyDescent="0.35">
      <c r="A32" s="297"/>
      <c r="B32" s="297"/>
      <c r="C32" s="297"/>
      <c r="D32" s="297"/>
      <c r="E32" s="297"/>
      <c r="F32" s="297"/>
      <c r="G32" s="309" t="str">
        <f>Roller!$G$42</f>
        <v>Price list effective as per 01 June 2026</v>
      </c>
      <c r="H32" s="297"/>
    </row>
    <row r="33" spans="1:15" x14ac:dyDescent="0.35">
      <c r="A33" s="297"/>
      <c r="B33" s="297"/>
      <c r="C33" s="297"/>
      <c r="D33" s="297"/>
      <c r="E33" s="297"/>
      <c r="F33" s="297"/>
      <c r="G33" s="308" t="s">
        <v>98</v>
      </c>
      <c r="H33" s="297"/>
    </row>
    <row r="34" spans="1:15" x14ac:dyDescent="0.35">
      <c r="A34" s="297"/>
      <c r="B34" s="297"/>
      <c r="C34" s="297"/>
      <c r="D34" s="297"/>
      <c r="E34" s="297"/>
      <c r="F34" s="297"/>
      <c r="G34" s="309" t="s">
        <v>99</v>
      </c>
      <c r="H34" s="297"/>
      <c r="J34" s="336"/>
    </row>
    <row r="35" spans="1:15" s="310" customFormat="1" x14ac:dyDescent="0.35">
      <c r="D35" s="311"/>
      <c r="E35" s="311"/>
      <c r="F35" s="311"/>
      <c r="G35" s="311"/>
      <c r="M35" s="339"/>
      <c r="N35" s="339"/>
      <c r="O35" s="336"/>
    </row>
    <row r="36" spans="1:15" x14ac:dyDescent="0.35">
      <c r="M36" s="339"/>
      <c r="N36" s="339"/>
    </row>
    <row r="37" spans="1:15" x14ac:dyDescent="0.35">
      <c r="M37" s="339"/>
      <c r="N37" s="339"/>
    </row>
    <row r="43" spans="1:15" x14ac:dyDescent="0.35">
      <c r="C43"/>
      <c r="D43" s="362"/>
      <c r="E43" s="363"/>
    </row>
    <row r="44" spans="1:15" x14ac:dyDescent="0.35">
      <c r="C44"/>
      <c r="D44" s="363"/>
      <c r="E44"/>
    </row>
  </sheetData>
  <mergeCells count="1">
    <mergeCell ref="D22:E22"/>
  </mergeCells>
  <pageMargins left="0.7" right="0.7" top="0.75" bottom="0.75" header="0.3" footer="0.3"/>
  <pageSetup scale="8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C7B7-7811-435E-A2C6-3635E058E6F0}">
  <dimension ref="A1:J27"/>
  <sheetViews>
    <sheetView showGridLines="0" view="pageBreakPreview" zoomScale="115" zoomScaleNormal="100" zoomScaleSheetLayoutView="115" workbookViewId="0">
      <selection activeCell="B1" sqref="B1"/>
    </sheetView>
  </sheetViews>
  <sheetFormatPr defaultColWidth="9.23046875" defaultRowHeight="12.9" x14ac:dyDescent="0.35"/>
  <cols>
    <col min="1" max="1" width="2.074218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07421875" style="295" customWidth="1"/>
    <col min="9" max="9" width="9.23046875" style="295"/>
    <col min="10" max="10" width="30.07421875" style="295" bestFit="1" customWidth="1"/>
    <col min="11" max="16384" width="9.23046875" style="295"/>
  </cols>
  <sheetData>
    <row r="1" spans="2:10" ht="30.75" customHeight="1" x14ac:dyDescent="0.6">
      <c r="B1" s="306" t="s">
        <v>181</v>
      </c>
      <c r="C1" s="306"/>
    </row>
    <row r="2" spans="2:10" x14ac:dyDescent="0.35">
      <c r="B2" s="299" t="s">
        <v>115</v>
      </c>
      <c r="C2" s="326"/>
    </row>
    <row r="3" spans="2:10" x14ac:dyDescent="0.35">
      <c r="B3" s="297" t="s">
        <v>93</v>
      </c>
      <c r="C3" s="301"/>
    </row>
    <row r="4" spans="2:10" ht="14.25" customHeight="1" x14ac:dyDescent="0.35">
      <c r="B4" s="365" t="s">
        <v>118</v>
      </c>
      <c r="C4" s="366"/>
      <c r="D4" s="304" t="s">
        <v>123</v>
      </c>
      <c r="E4" s="369" t="s">
        <v>119</v>
      </c>
      <c r="F4" s="370"/>
      <c r="G4" s="371"/>
    </row>
    <row r="5" spans="2:10" x14ac:dyDescent="0.35">
      <c r="B5" s="372"/>
      <c r="C5" s="373"/>
      <c r="D5" s="305" t="s">
        <v>111</v>
      </c>
      <c r="E5" s="305" t="s">
        <v>120</v>
      </c>
      <c r="F5" s="305" t="s">
        <v>121</v>
      </c>
      <c r="G5" s="305" t="s">
        <v>122</v>
      </c>
    </row>
    <row r="6" spans="2:10" ht="6" customHeight="1" x14ac:dyDescent="0.35">
      <c r="B6" s="301"/>
      <c r="C6" s="301"/>
      <c r="D6" s="307"/>
      <c r="E6" s="307"/>
      <c r="F6" s="307"/>
      <c r="G6" s="303"/>
    </row>
    <row r="7" spans="2:10" x14ac:dyDescent="0.35">
      <c r="B7" s="326" t="s">
        <v>177</v>
      </c>
      <c r="C7" s="327"/>
      <c r="D7" s="303">
        <v>2226000</v>
      </c>
      <c r="E7" s="307" t="s">
        <v>183</v>
      </c>
      <c r="F7" s="307" t="s">
        <v>182</v>
      </c>
      <c r="G7" s="303"/>
    </row>
    <row r="8" spans="2:10" x14ac:dyDescent="0.35">
      <c r="B8" s="301" t="s">
        <v>176</v>
      </c>
      <c r="C8" s="327"/>
      <c r="D8" s="303"/>
      <c r="E8" s="307"/>
      <c r="F8" s="307"/>
      <c r="G8" s="303"/>
    </row>
    <row r="9" spans="2:10" ht="6" customHeight="1" x14ac:dyDescent="0.35">
      <c r="B9" s="321"/>
      <c r="C9" s="328"/>
      <c r="D9" s="322"/>
      <c r="E9" s="322"/>
      <c r="F9" s="322"/>
      <c r="G9" s="322"/>
    </row>
    <row r="10" spans="2:10" x14ac:dyDescent="0.35">
      <c r="B10" s="301"/>
      <c r="C10" s="301"/>
      <c r="D10" s="303"/>
      <c r="E10" s="303"/>
      <c r="F10" s="303"/>
      <c r="G10" s="303"/>
      <c r="J10" s="338"/>
    </row>
    <row r="11" spans="2:10" x14ac:dyDescent="0.35">
      <c r="B11" s="336" t="s">
        <v>210</v>
      </c>
      <c r="C11" s="301"/>
      <c r="D11" s="348">
        <v>2650000</v>
      </c>
      <c r="E11" s="348"/>
      <c r="F11" s="303"/>
      <c r="G11" s="303"/>
    </row>
    <row r="12" spans="2:10" x14ac:dyDescent="0.35">
      <c r="B12" s="336" t="s">
        <v>211</v>
      </c>
      <c r="C12" s="301"/>
      <c r="D12" s="348">
        <v>2650000</v>
      </c>
      <c r="E12" s="348"/>
      <c r="F12" s="303"/>
      <c r="G12" s="303"/>
    </row>
    <row r="13" spans="2:10" ht="6" customHeight="1" x14ac:dyDescent="0.35">
      <c r="B13" s="321"/>
      <c r="C13" s="328"/>
      <c r="D13" s="322"/>
      <c r="E13" s="322"/>
      <c r="F13" s="322"/>
      <c r="G13" s="322"/>
    </row>
    <row r="14" spans="2:10" x14ac:dyDescent="0.35">
      <c r="B14" s="336" t="s">
        <v>206</v>
      </c>
      <c r="C14" s="301"/>
      <c r="D14" s="352">
        <v>0.3</v>
      </c>
      <c r="E14" s="348" t="s">
        <v>208</v>
      </c>
      <c r="F14" s="303"/>
      <c r="G14" s="303"/>
    </row>
    <row r="15" spans="2:10" x14ac:dyDescent="0.35">
      <c r="B15" s="336" t="s">
        <v>207</v>
      </c>
      <c r="C15" s="301"/>
      <c r="D15" s="348">
        <v>53000</v>
      </c>
      <c r="E15" s="348" t="s">
        <v>209</v>
      </c>
      <c r="F15" s="303"/>
      <c r="G15" s="303"/>
    </row>
    <row r="16" spans="2:10" x14ac:dyDescent="0.35">
      <c r="B16" s="301"/>
      <c r="C16" s="301"/>
      <c r="D16" s="303"/>
      <c r="E16" s="303"/>
      <c r="F16" s="303"/>
      <c r="G16" s="303"/>
    </row>
    <row r="17" spans="1:10" x14ac:dyDescent="0.35">
      <c r="B17" s="301"/>
      <c r="C17" s="301"/>
      <c r="D17" s="303"/>
      <c r="E17" s="303"/>
      <c r="F17" s="303"/>
      <c r="G17" s="303"/>
    </row>
    <row r="18" spans="1:10" x14ac:dyDescent="0.35">
      <c r="B18" s="354" t="s">
        <v>216</v>
      </c>
      <c r="C18" s="354"/>
      <c r="D18" s="348">
        <v>1325000</v>
      </c>
      <c r="E18" s="303"/>
      <c r="F18" s="303"/>
      <c r="G18" s="303"/>
      <c r="J18" s="336"/>
    </row>
    <row r="19" spans="1:10" x14ac:dyDescent="0.35">
      <c r="G19" s="312" t="s">
        <v>92</v>
      </c>
      <c r="J19" s="336"/>
    </row>
    <row r="20" spans="1:10" x14ac:dyDescent="0.35">
      <c r="A20" s="297"/>
      <c r="B20" s="297"/>
      <c r="C20" s="297"/>
      <c r="D20" s="297"/>
      <c r="E20" s="297"/>
      <c r="F20" s="297"/>
      <c r="G20" s="309" t="str">
        <f>Roller!$G$42</f>
        <v>Price list effective as per 01 June 2026</v>
      </c>
      <c r="H20" s="297"/>
      <c r="J20" s="336"/>
    </row>
    <row r="21" spans="1:10" x14ac:dyDescent="0.35">
      <c r="A21" s="297"/>
      <c r="B21" s="297"/>
      <c r="C21" s="297"/>
      <c r="D21" s="297"/>
      <c r="E21" s="297"/>
      <c r="F21" s="297"/>
      <c r="G21" s="308" t="s">
        <v>98</v>
      </c>
      <c r="H21" s="297"/>
      <c r="J21" s="336"/>
    </row>
    <row r="22" spans="1:10" x14ac:dyDescent="0.35">
      <c r="A22" s="297"/>
      <c r="B22" s="297"/>
      <c r="C22" s="297"/>
      <c r="D22" s="297"/>
      <c r="E22" s="297"/>
      <c r="F22" s="297"/>
      <c r="G22" s="309" t="s">
        <v>99</v>
      </c>
      <c r="H22" s="297"/>
      <c r="J22" s="336"/>
    </row>
    <row r="23" spans="1:10" s="310" customFormat="1" x14ac:dyDescent="0.35">
      <c r="D23" s="311"/>
      <c r="E23" s="311"/>
      <c r="F23" s="311"/>
      <c r="G23" s="311"/>
      <c r="J23" s="336"/>
    </row>
    <row r="27" spans="1:10" x14ac:dyDescent="0.35">
      <c r="D27" s="353"/>
    </row>
  </sheetData>
  <mergeCells count="2">
    <mergeCell ref="E4:G4"/>
    <mergeCell ref="B4:C5"/>
  </mergeCells>
  <pageMargins left="0.7" right="0.7" top="0.75" bottom="0.75" header="0.3" footer="0.3"/>
  <pageSetup scale="8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484D-494C-48A0-9F1E-C173E6F1F82D}">
  <sheetPr>
    <tabColor rgb="FFFF0000"/>
  </sheetPr>
  <dimension ref="A1:L37"/>
  <sheetViews>
    <sheetView showGridLines="0" view="pageBreakPreview" topLeftCell="B1" zoomScale="115" zoomScaleNormal="100" zoomScaleSheetLayoutView="115" workbookViewId="0">
      <selection activeCell="H25" sqref="H25"/>
    </sheetView>
  </sheetViews>
  <sheetFormatPr defaultColWidth="9.15234375" defaultRowHeight="12.9" x14ac:dyDescent="0.35"/>
  <cols>
    <col min="1" max="1" width="2.152343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15234375" style="295" customWidth="1"/>
    <col min="9" max="11" width="9.15234375" style="295"/>
    <col min="12" max="12" width="11.61328125" style="295" bestFit="1" customWidth="1"/>
    <col min="13" max="16384" width="9.15234375" style="295"/>
  </cols>
  <sheetData>
    <row r="1" spans="2:12" ht="30.75" customHeight="1" x14ac:dyDescent="0.6">
      <c r="B1" s="306" t="s">
        <v>250</v>
      </c>
      <c r="C1" s="306"/>
    </row>
    <row r="2" spans="2:12" x14ac:dyDescent="0.35">
      <c r="B2" s="299" t="s">
        <v>235</v>
      </c>
      <c r="C2" s="326"/>
    </row>
    <row r="3" spans="2:12" x14ac:dyDescent="0.35">
      <c r="B3" s="297" t="s">
        <v>93</v>
      </c>
      <c r="C3" s="301"/>
    </row>
    <row r="4" spans="2:12" ht="14.25" customHeight="1" x14ac:dyDescent="0.35">
      <c r="B4" s="365" t="s">
        <v>118</v>
      </c>
      <c r="C4" s="366"/>
      <c r="D4" s="304" t="s">
        <v>123</v>
      </c>
      <c r="E4" s="369" t="s">
        <v>119</v>
      </c>
      <c r="F4" s="370"/>
      <c r="G4" s="371"/>
    </row>
    <row r="5" spans="2:12" x14ac:dyDescent="0.35">
      <c r="B5" s="372"/>
      <c r="C5" s="373"/>
      <c r="D5" s="305" t="s">
        <v>111</v>
      </c>
      <c r="E5" s="305" t="s">
        <v>120</v>
      </c>
      <c r="F5" s="305" t="s">
        <v>121</v>
      </c>
      <c r="G5" s="305" t="s">
        <v>122</v>
      </c>
    </row>
    <row r="6" spans="2:12" ht="6" customHeight="1" x14ac:dyDescent="0.35">
      <c r="B6" s="301"/>
      <c r="C6" s="301"/>
      <c r="D6" s="401"/>
      <c r="E6" s="401"/>
      <c r="F6" s="401"/>
      <c r="G6" s="402"/>
    </row>
    <row r="7" spans="2:12" x14ac:dyDescent="0.35">
      <c r="B7" s="360" t="s">
        <v>236</v>
      </c>
      <c r="C7" s="350"/>
      <c r="D7" s="403"/>
      <c r="E7" s="404" t="s">
        <v>237</v>
      </c>
      <c r="F7" s="404" t="s">
        <v>238</v>
      </c>
      <c r="G7" s="403" t="s">
        <v>239</v>
      </c>
      <c r="J7" s="402"/>
    </row>
    <row r="8" spans="2:12" x14ac:dyDescent="0.35">
      <c r="B8" s="360" t="s">
        <v>252</v>
      </c>
      <c r="C8" s="350"/>
      <c r="D8" s="403">
        <v>1300000</v>
      </c>
      <c r="E8" s="404"/>
      <c r="F8" s="404"/>
      <c r="G8" s="403"/>
      <c r="J8" s="402"/>
    </row>
    <row r="9" spans="2:12" x14ac:dyDescent="0.35">
      <c r="B9" s="354" t="s">
        <v>240</v>
      </c>
      <c r="C9" s="350"/>
      <c r="D9" s="403">
        <v>737000</v>
      </c>
      <c r="E9" s="404"/>
      <c r="F9" s="404"/>
      <c r="G9" s="403"/>
      <c r="J9" s="298"/>
      <c r="K9" s="331"/>
      <c r="L9" s="338"/>
    </row>
    <row r="10" spans="2:12" x14ac:dyDescent="0.35">
      <c r="B10" s="354" t="s">
        <v>241</v>
      </c>
      <c r="C10" s="350"/>
      <c r="D10" s="403">
        <v>629000</v>
      </c>
      <c r="E10" s="404"/>
      <c r="F10" s="404"/>
      <c r="G10" s="403"/>
    </row>
    <row r="11" spans="2:12" x14ac:dyDescent="0.35">
      <c r="B11" s="354" t="s">
        <v>242</v>
      </c>
      <c r="C11" s="350"/>
      <c r="D11" s="403">
        <v>575000</v>
      </c>
      <c r="E11" s="404"/>
      <c r="F11" s="404"/>
      <c r="G11" s="403"/>
    </row>
    <row r="12" spans="2:12" x14ac:dyDescent="0.35">
      <c r="B12" s="354" t="s">
        <v>243</v>
      </c>
      <c r="C12" s="350"/>
      <c r="D12" s="403">
        <v>513999.99999999994</v>
      </c>
      <c r="E12" s="404"/>
      <c r="F12" s="404"/>
      <c r="G12" s="403"/>
    </row>
    <row r="13" spans="2:12" x14ac:dyDescent="0.35">
      <c r="B13" s="354"/>
      <c r="C13" s="350"/>
      <c r="D13" s="403"/>
      <c r="E13" s="404"/>
      <c r="F13" s="404"/>
      <c r="G13" s="403"/>
    </row>
    <row r="14" spans="2:12" ht="6" customHeight="1" x14ac:dyDescent="0.35">
      <c r="B14" s="405"/>
      <c r="C14" s="406"/>
      <c r="D14" s="407"/>
      <c r="E14" s="407"/>
      <c r="F14" s="407"/>
      <c r="G14" s="407"/>
    </row>
    <row r="15" spans="2:12" x14ac:dyDescent="0.35">
      <c r="B15" s="354"/>
      <c r="C15" s="354"/>
      <c r="D15" s="403"/>
      <c r="E15" s="403"/>
      <c r="F15" s="403"/>
      <c r="G15" s="403"/>
      <c r="K15" s="338"/>
    </row>
    <row r="16" spans="2:12" x14ac:dyDescent="0.35">
      <c r="B16" s="360" t="s">
        <v>244</v>
      </c>
      <c r="C16" s="350"/>
      <c r="D16" s="403"/>
      <c r="E16" s="404" t="s">
        <v>245</v>
      </c>
      <c r="F16" s="404" t="s">
        <v>246</v>
      </c>
      <c r="G16" s="403" t="s">
        <v>247</v>
      </c>
      <c r="J16" s="402"/>
    </row>
    <row r="17" spans="1:11" x14ac:dyDescent="0.35">
      <c r="B17" s="360" t="s">
        <v>252</v>
      </c>
      <c r="C17" s="350"/>
      <c r="D17" s="403">
        <v>2450000</v>
      </c>
      <c r="E17" s="404"/>
      <c r="F17" s="404"/>
      <c r="G17" s="403"/>
      <c r="J17" s="402"/>
    </row>
    <row r="18" spans="1:11" x14ac:dyDescent="0.35">
      <c r="B18" s="354" t="s">
        <v>240</v>
      </c>
      <c r="C18" s="350"/>
      <c r="D18" s="403">
        <v>1330000</v>
      </c>
      <c r="E18" s="404"/>
      <c r="F18" s="404"/>
      <c r="G18" s="403"/>
      <c r="J18" s="298"/>
      <c r="K18" s="331"/>
    </row>
    <row r="19" spans="1:11" x14ac:dyDescent="0.35">
      <c r="B19" s="354" t="s">
        <v>241</v>
      </c>
      <c r="C19" s="350"/>
      <c r="D19" s="403">
        <v>1068000</v>
      </c>
      <c r="E19" s="404"/>
      <c r="F19" s="404"/>
      <c r="G19" s="403"/>
    </row>
    <row r="20" spans="1:11" x14ac:dyDescent="0.35">
      <c r="B20" s="354" t="s">
        <v>242</v>
      </c>
      <c r="C20" s="350"/>
      <c r="D20" s="403">
        <v>907000</v>
      </c>
      <c r="E20" s="404"/>
      <c r="F20" s="404"/>
      <c r="G20" s="403"/>
    </row>
    <row r="21" spans="1:11" x14ac:dyDescent="0.35">
      <c r="B21" s="354" t="s">
        <v>243</v>
      </c>
      <c r="C21" s="350"/>
      <c r="D21" s="403">
        <v>801000</v>
      </c>
      <c r="E21" s="404"/>
      <c r="F21" s="404"/>
      <c r="G21" s="403"/>
    </row>
    <row r="22" spans="1:11" ht="6" customHeight="1" x14ac:dyDescent="0.35">
      <c r="B22" s="405"/>
      <c r="C22" s="406"/>
      <c r="D22" s="407"/>
      <c r="E22" s="407"/>
      <c r="F22" s="407"/>
      <c r="G22" s="407"/>
    </row>
    <row r="23" spans="1:11" x14ac:dyDescent="0.35">
      <c r="B23" s="336"/>
      <c r="C23" s="354"/>
      <c r="D23" s="408"/>
      <c r="E23" s="403"/>
      <c r="F23" s="403"/>
      <c r="G23" s="408"/>
    </row>
    <row r="24" spans="1:11" x14ac:dyDescent="0.35">
      <c r="B24" s="336"/>
      <c r="C24" s="354"/>
      <c r="D24" s="403"/>
      <c r="E24" s="403"/>
      <c r="F24" s="403"/>
      <c r="G24" s="403"/>
    </row>
    <row r="25" spans="1:11" x14ac:dyDescent="0.35">
      <c r="B25" s="301"/>
      <c r="C25" s="301"/>
      <c r="D25" s="402"/>
      <c r="E25" s="402"/>
      <c r="F25" s="402"/>
      <c r="G25" s="402"/>
    </row>
    <row r="26" spans="1:11" ht="14.25" customHeight="1" x14ac:dyDescent="0.35">
      <c r="B26" s="301"/>
      <c r="C26" s="325" t="s">
        <v>112</v>
      </c>
      <c r="D26" s="365" t="s">
        <v>113</v>
      </c>
      <c r="E26" s="366"/>
      <c r="G26" s="295"/>
      <c r="H26" s="297"/>
    </row>
    <row r="27" spans="1:11" x14ac:dyDescent="0.35">
      <c r="B27" s="301"/>
      <c r="C27" s="325"/>
      <c r="D27" s="324"/>
      <c r="E27" s="325"/>
      <c r="G27" s="295"/>
    </row>
    <row r="28" spans="1:11" s="310" customFormat="1" x14ac:dyDescent="0.35">
      <c r="A28" s="314"/>
      <c r="B28" s="301"/>
      <c r="C28" s="409" t="s">
        <v>248</v>
      </c>
      <c r="D28" s="403">
        <v>5235000</v>
      </c>
      <c r="E28" s="410" t="s">
        <v>249</v>
      </c>
      <c r="G28" s="295"/>
      <c r="H28" s="295"/>
      <c r="I28" s="295"/>
    </row>
    <row r="29" spans="1:11" x14ac:dyDescent="0.35">
      <c r="B29" s="301"/>
      <c r="C29" s="350" t="s">
        <v>189</v>
      </c>
      <c r="D29" s="403">
        <v>530000</v>
      </c>
      <c r="E29" s="410" t="s">
        <v>8</v>
      </c>
      <c r="F29" s="402"/>
      <c r="G29" s="402"/>
    </row>
    <row r="30" spans="1:11" x14ac:dyDescent="0.35">
      <c r="B30" s="301"/>
      <c r="C30" s="350" t="s">
        <v>105</v>
      </c>
      <c r="D30" s="403">
        <v>795000</v>
      </c>
      <c r="E30" s="410" t="s">
        <v>8</v>
      </c>
      <c r="F30" s="402"/>
      <c r="G30" s="402"/>
    </row>
    <row r="31" spans="1:11" x14ac:dyDescent="0.35">
      <c r="B31" s="301"/>
      <c r="C31" s="350" t="s">
        <v>58</v>
      </c>
      <c r="D31" s="403">
        <v>2438000</v>
      </c>
      <c r="E31" s="410" t="s">
        <v>8</v>
      </c>
      <c r="F31" s="402"/>
      <c r="G31" s="402"/>
    </row>
    <row r="32" spans="1:11" x14ac:dyDescent="0.35">
      <c r="B32" s="301"/>
      <c r="C32" s="350" t="s">
        <v>251</v>
      </c>
      <c r="D32" s="403">
        <v>1500000</v>
      </c>
      <c r="E32" s="410" t="s">
        <v>249</v>
      </c>
      <c r="F32" s="402"/>
      <c r="G32" s="402"/>
    </row>
    <row r="33" spans="1:8" x14ac:dyDescent="0.35">
      <c r="G33" s="312" t="s">
        <v>92</v>
      </c>
    </row>
    <row r="34" spans="1:8" x14ac:dyDescent="0.35">
      <c r="A34" s="297"/>
      <c r="B34" s="297"/>
      <c r="C34" s="297"/>
      <c r="D34" s="297"/>
      <c r="E34" s="297"/>
      <c r="F34" s="297"/>
      <c r="G34" s="327" t="s">
        <v>232</v>
      </c>
      <c r="H34" s="297"/>
    </row>
    <row r="35" spans="1:8" x14ac:dyDescent="0.35">
      <c r="A35" s="297"/>
      <c r="B35" s="297"/>
      <c r="C35" s="297"/>
      <c r="D35" s="297"/>
      <c r="E35" s="297"/>
      <c r="F35" s="297"/>
      <c r="G35" s="308" t="s">
        <v>98</v>
      </c>
      <c r="H35" s="297"/>
    </row>
    <row r="36" spans="1:8" x14ac:dyDescent="0.35">
      <c r="A36" s="297"/>
      <c r="B36" s="297"/>
      <c r="C36" s="297"/>
      <c r="D36" s="297"/>
      <c r="E36" s="297"/>
      <c r="F36" s="297"/>
      <c r="G36" s="309" t="s">
        <v>99</v>
      </c>
      <c r="H36" s="297"/>
    </row>
    <row r="37" spans="1:8" s="310" customFormat="1" x14ac:dyDescent="0.35">
      <c r="D37" s="311"/>
      <c r="E37" s="311"/>
      <c r="F37" s="311"/>
      <c r="G37" s="311"/>
    </row>
  </sheetData>
  <mergeCells count="3">
    <mergeCell ref="B4:C5"/>
    <mergeCell ref="E4:G4"/>
    <mergeCell ref="D26:E26"/>
  </mergeCells>
  <pageMargins left="0.7" right="0.7" top="0.75" bottom="0.75" header="0.3" footer="0.3"/>
  <pageSetup scale="8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L105"/>
  <sheetViews>
    <sheetView showGridLines="0" zoomScale="70" zoomScaleNormal="70" workbookViewId="0">
      <pane ySplit="8" topLeftCell="A54" activePane="bottomLeft" state="frozen"/>
      <selection activeCell="J70" sqref="J70"/>
      <selection pane="bottomLeft" activeCell="J70" sqref="J70"/>
    </sheetView>
  </sheetViews>
  <sheetFormatPr defaultColWidth="9.23046875" defaultRowHeight="14.6" x14ac:dyDescent="0.4"/>
  <cols>
    <col min="1" max="1" width="11.53515625" style="10" customWidth="1"/>
    <col min="2" max="2" width="26.07421875" style="10" customWidth="1"/>
    <col min="3" max="8" width="10.53515625" style="10" bestFit="1" customWidth="1"/>
    <col min="9" max="9" width="11.3046875" style="10" bestFit="1" customWidth="1"/>
    <col min="10" max="10" width="10.53515625" style="10" bestFit="1" customWidth="1"/>
    <col min="11" max="12" width="10.3046875" style="10" bestFit="1" customWidth="1"/>
    <col min="13" max="16384" width="9.23046875" style="10"/>
  </cols>
  <sheetData>
    <row r="1" spans="1:12" ht="45.45" x14ac:dyDescent="1.05">
      <c r="A1" s="4"/>
      <c r="B1" s="5" t="s">
        <v>13</v>
      </c>
      <c r="C1" s="6"/>
      <c r="D1" s="6"/>
      <c r="E1" s="6"/>
      <c r="F1" s="6"/>
      <c r="G1" s="6"/>
      <c r="H1" s="7"/>
      <c r="I1" s="8"/>
      <c r="J1" s="9"/>
    </row>
    <row r="2" spans="1:12" x14ac:dyDescent="0.4">
      <c r="B2" s="11"/>
      <c r="C2" s="12"/>
      <c r="D2" s="12"/>
      <c r="E2" s="12"/>
      <c r="F2" s="12"/>
      <c r="G2" s="12"/>
      <c r="H2" s="12"/>
      <c r="I2" s="12"/>
      <c r="J2" s="12"/>
    </row>
    <row r="3" spans="1:12" ht="15" thickBot="1" x14ac:dyDescent="0.45">
      <c r="B3" s="293" t="s">
        <v>59</v>
      </c>
      <c r="C3" s="12"/>
      <c r="D3" s="12"/>
      <c r="E3" s="12"/>
      <c r="F3" s="12"/>
      <c r="G3" s="12"/>
      <c r="H3" s="12"/>
      <c r="I3" s="12"/>
      <c r="J3" s="12"/>
    </row>
    <row r="4" spans="1:12" x14ac:dyDescent="0.4">
      <c r="B4" s="13"/>
      <c r="C4" s="14"/>
      <c r="D4" s="15"/>
      <c r="E4" s="15"/>
      <c r="F4" s="16"/>
      <c r="G4" s="17"/>
      <c r="H4" s="16"/>
      <c r="I4" s="16"/>
      <c r="J4" s="17"/>
      <c r="K4" s="16"/>
      <c r="L4" s="18"/>
    </row>
    <row r="5" spans="1:12" ht="30" x14ac:dyDescent="0.4">
      <c r="B5" s="19" t="s">
        <v>14</v>
      </c>
      <c r="C5" s="12"/>
      <c r="D5" s="20"/>
      <c r="E5" s="20"/>
      <c r="F5" s="21"/>
      <c r="G5" s="22"/>
      <c r="H5" s="21"/>
      <c r="I5" s="23"/>
      <c r="J5" s="22"/>
      <c r="K5" s="23" t="s">
        <v>6</v>
      </c>
      <c r="L5" s="24"/>
    </row>
    <row r="6" spans="1:12" x14ac:dyDescent="0.4">
      <c r="B6" s="229" t="s">
        <v>48</v>
      </c>
      <c r="C6" s="25"/>
      <c r="D6" s="20"/>
      <c r="E6" s="20"/>
      <c r="F6" s="21"/>
      <c r="G6" s="22"/>
      <c r="H6" s="21"/>
      <c r="I6" s="21"/>
      <c r="J6" s="22"/>
      <c r="K6" s="21"/>
      <c r="L6" s="24"/>
    </row>
    <row r="7" spans="1:12" x14ac:dyDescent="0.4">
      <c r="B7" s="229" t="s">
        <v>49</v>
      </c>
      <c r="C7" s="25"/>
      <c r="D7" s="20"/>
      <c r="E7" s="20"/>
      <c r="F7" s="21"/>
      <c r="G7" s="21"/>
      <c r="H7" s="21"/>
      <c r="I7" s="21"/>
      <c r="J7" s="21"/>
      <c r="K7" s="21"/>
      <c r="L7" s="26"/>
    </row>
    <row r="8" spans="1:12" ht="15" thickBot="1" x14ac:dyDescent="0.45">
      <c r="B8" s="230" t="s">
        <v>50</v>
      </c>
      <c r="C8" s="27"/>
      <c r="D8" s="28"/>
      <c r="E8" s="28"/>
      <c r="F8" s="29"/>
      <c r="G8" s="29"/>
      <c r="H8" s="29"/>
      <c r="I8" s="29"/>
      <c r="J8" s="29"/>
      <c r="K8" s="29"/>
      <c r="L8" s="30"/>
    </row>
    <row r="9" spans="1:12" x14ac:dyDescent="0.4">
      <c r="B9" s="11"/>
      <c r="C9" s="12"/>
      <c r="D9" s="12"/>
      <c r="E9" s="12"/>
      <c r="F9" s="12"/>
      <c r="G9" s="12"/>
      <c r="H9" s="12"/>
      <c r="I9" s="12"/>
      <c r="J9" s="12"/>
    </row>
    <row r="10" spans="1:12" ht="45.45" x14ac:dyDescent="1.05">
      <c r="B10" s="31" t="s">
        <v>15</v>
      </c>
      <c r="C10" s="7"/>
      <c r="D10" s="7"/>
      <c r="E10" s="7"/>
      <c r="F10" s="7"/>
      <c r="G10" s="32"/>
      <c r="H10" s="33"/>
      <c r="I10" s="33"/>
      <c r="J10" s="33"/>
    </row>
    <row r="11" spans="1:12" ht="17.25" customHeight="1" thickBot="1" x14ac:dyDescent="1.1000000000000001">
      <c r="B11" s="31"/>
      <c r="C11" s="7"/>
      <c r="D11" s="7"/>
      <c r="E11" s="7"/>
      <c r="F11" s="7"/>
      <c r="G11" s="32"/>
      <c r="H11" s="34"/>
      <c r="I11" s="34"/>
      <c r="J11" s="34"/>
    </row>
    <row r="12" spans="1:12" s="187" customFormat="1" ht="15.9" thickBot="1" x14ac:dyDescent="0.45">
      <c r="B12" s="35"/>
      <c r="C12" s="36">
        <v>2500</v>
      </c>
      <c r="D12" s="37">
        <v>3000</v>
      </c>
      <c r="E12" s="37">
        <v>3500</v>
      </c>
      <c r="F12" s="37">
        <v>4000</v>
      </c>
      <c r="G12" s="37">
        <v>4500</v>
      </c>
      <c r="H12" s="37">
        <v>5000</v>
      </c>
      <c r="I12" s="37">
        <v>5500</v>
      </c>
      <c r="J12" s="86">
        <v>6000</v>
      </c>
    </row>
    <row r="13" spans="1:12" s="187" customFormat="1" ht="15.45" x14ac:dyDescent="0.4">
      <c r="B13" s="38">
        <v>1500</v>
      </c>
      <c r="C13" s="200">
        <v>1146.2069798819666</v>
      </c>
      <c r="D13" s="201">
        <v>1195.072263884641</v>
      </c>
      <c r="E13" s="201">
        <v>1243.9375478873151</v>
      </c>
      <c r="F13" s="201">
        <v>1388.0536143139209</v>
      </c>
      <c r="G13" s="201">
        <v>1436.918898316595</v>
      </c>
      <c r="H13" s="201">
        <v>1486.674635915301</v>
      </c>
      <c r="I13" s="201">
        <v>1535.5399199179751</v>
      </c>
      <c r="J13" s="203">
        <v>1585.2956575166816</v>
      </c>
    </row>
    <row r="14" spans="1:12" s="187" customFormat="1" ht="15.45" x14ac:dyDescent="0.4">
      <c r="B14" s="39">
        <v>2000</v>
      </c>
      <c r="C14" s="231" t="s">
        <v>7</v>
      </c>
      <c r="D14" s="205">
        <v>1258.7405291701011</v>
      </c>
      <c r="E14" s="205">
        <v>1407.9649954880508</v>
      </c>
      <c r="F14" s="205">
        <v>1464.0164044394751</v>
      </c>
      <c r="G14" s="205">
        <v>1518.8805419295247</v>
      </c>
      <c r="H14" s="205">
        <v>1574.9319508809497</v>
      </c>
      <c r="I14" s="205">
        <v>1629.7960883709991</v>
      </c>
      <c r="J14" s="207">
        <v>1780.2078261503239</v>
      </c>
    </row>
    <row r="15" spans="1:12" s="187" customFormat="1" ht="15.45" x14ac:dyDescent="0.4">
      <c r="B15" s="39">
        <v>2500</v>
      </c>
      <c r="C15" s="231" t="s">
        <v>7</v>
      </c>
      <c r="D15" s="232" t="s">
        <v>7</v>
      </c>
      <c r="E15" s="205">
        <v>1483.2428459588803</v>
      </c>
      <c r="F15" s="205">
        <v>1545.5899262630242</v>
      </c>
      <c r="G15" s="205">
        <v>1606.4529172404491</v>
      </c>
      <c r="H15" s="205">
        <v>1668.7999975445928</v>
      </c>
      <c r="I15" s="205">
        <v>1729.662988522017</v>
      </c>
      <c r="J15" s="207">
        <v>1886.370397654061</v>
      </c>
    </row>
    <row r="16" spans="1:12" s="187" customFormat="1" ht="15.45" x14ac:dyDescent="0.4">
      <c r="B16" s="39">
        <v>3000</v>
      </c>
      <c r="C16" s="231" t="s">
        <v>7</v>
      </c>
      <c r="D16" s="232" t="s">
        <v>7</v>
      </c>
      <c r="E16" s="205">
        <v>1642.7469129658834</v>
      </c>
      <c r="F16" s="205">
        <v>1711.3896646227465</v>
      </c>
      <c r="G16" s="205">
        <v>1778.2515090875456</v>
      </c>
      <c r="H16" s="205">
        <v>1846.8942607444087</v>
      </c>
      <c r="I16" s="205">
        <v>1913.7561052092078</v>
      </c>
      <c r="J16" s="207">
        <v>1982.398856866072</v>
      </c>
    </row>
    <row r="17" spans="2:11" s="187" customFormat="1" ht="15.45" x14ac:dyDescent="0.4">
      <c r="B17" s="39">
        <v>3500</v>
      </c>
      <c r="C17" s="231" t="s">
        <v>7</v>
      </c>
      <c r="D17" s="232" t="s">
        <v>7</v>
      </c>
      <c r="E17" s="232" t="s">
        <v>7</v>
      </c>
      <c r="F17" s="205">
        <v>1793.0936685788074</v>
      </c>
      <c r="G17" s="205">
        <v>1960.3146953588807</v>
      </c>
      <c r="H17" s="205">
        <v>2035.253118368463</v>
      </c>
      <c r="I17" s="205">
        <v>2108.1138163206369</v>
      </c>
      <c r="J17" s="207">
        <v>2183.052239330219</v>
      </c>
    </row>
    <row r="18" spans="2:11" customFormat="1" ht="15.45" x14ac:dyDescent="0.4">
      <c r="B18" s="276" t="s">
        <v>20</v>
      </c>
      <c r="C18" s="97">
        <v>2.1</v>
      </c>
      <c r="D18" s="97">
        <v>3.1500000000000004</v>
      </c>
      <c r="E18" s="97">
        <v>3.1500000000000004</v>
      </c>
      <c r="F18" s="97">
        <v>3.1500000000000004</v>
      </c>
      <c r="G18" s="97">
        <v>3.1500000000000004</v>
      </c>
      <c r="H18" s="97">
        <v>3.1500000000000004</v>
      </c>
      <c r="I18" s="97">
        <v>4.2</v>
      </c>
      <c r="J18" s="97">
        <v>4.2</v>
      </c>
      <c r="K18" s="3"/>
    </row>
    <row r="19" spans="2:11" customFormat="1" ht="15.45" x14ac:dyDescent="0.4">
      <c r="B19" s="276" t="s">
        <v>21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1.05</v>
      </c>
      <c r="I19" s="97">
        <v>1.05</v>
      </c>
      <c r="J19" s="97">
        <v>1.05</v>
      </c>
      <c r="K19" s="3"/>
    </row>
    <row r="20" spans="2:11" customFormat="1" ht="15.45" x14ac:dyDescent="0.4">
      <c r="B20" s="276" t="s">
        <v>22</v>
      </c>
      <c r="C20" s="97">
        <v>2.1</v>
      </c>
      <c r="D20" s="97">
        <v>2.1</v>
      </c>
      <c r="E20" s="97">
        <v>2.1</v>
      </c>
      <c r="F20" s="97">
        <v>2.1</v>
      </c>
      <c r="G20" s="97">
        <v>2.1</v>
      </c>
      <c r="H20" s="97">
        <v>2.1</v>
      </c>
      <c r="I20" s="97">
        <v>2.1</v>
      </c>
      <c r="J20" s="97">
        <v>2.1</v>
      </c>
      <c r="K20" s="3"/>
    </row>
    <row r="21" spans="2:11" s="187" customFormat="1" x14ac:dyDescent="0.4">
      <c r="B21" s="185"/>
      <c r="C21" s="186"/>
      <c r="D21" s="186"/>
      <c r="E21" s="186"/>
      <c r="F21" s="186"/>
      <c r="G21" s="186"/>
      <c r="H21" s="186"/>
      <c r="I21" s="186"/>
      <c r="J21" s="186"/>
    </row>
    <row r="22" spans="2:11" s="187" customFormat="1" ht="45.45" x14ac:dyDescent="1.05">
      <c r="B22" s="233" t="s">
        <v>16</v>
      </c>
      <c r="C22" s="190"/>
      <c r="D22" s="190"/>
      <c r="E22" s="190"/>
      <c r="F22" s="190"/>
      <c r="G22" s="6"/>
      <c r="H22" s="191"/>
      <c r="I22" s="191"/>
      <c r="J22" s="191"/>
    </row>
    <row r="23" spans="2:11" s="187" customFormat="1" ht="15" customHeight="1" thickBot="1" x14ac:dyDescent="1.1000000000000001">
      <c r="B23" s="233"/>
      <c r="C23" s="190"/>
      <c r="D23" s="190"/>
      <c r="E23" s="190"/>
      <c r="F23" s="190"/>
      <c r="G23" s="6"/>
      <c r="H23" s="234"/>
      <c r="I23" s="234"/>
      <c r="J23" s="234"/>
    </row>
    <row r="24" spans="2:11" s="187" customFormat="1" ht="15.9" thickBot="1" x14ac:dyDescent="0.45">
      <c r="B24" s="35"/>
      <c r="C24" s="36">
        <v>2500</v>
      </c>
      <c r="D24" s="37">
        <v>3000</v>
      </c>
      <c r="E24" s="37">
        <v>3500</v>
      </c>
      <c r="F24" s="37">
        <v>4000</v>
      </c>
      <c r="G24" s="37">
        <v>4500</v>
      </c>
      <c r="H24" s="37">
        <v>5000</v>
      </c>
      <c r="I24" s="37">
        <v>5500</v>
      </c>
      <c r="J24" s="86">
        <v>6000</v>
      </c>
      <c r="K24" s="87"/>
    </row>
    <row r="25" spans="2:11" s="187" customFormat="1" ht="15.45" x14ac:dyDescent="0.4">
      <c r="B25" s="38">
        <v>1500</v>
      </c>
      <c r="C25" s="200">
        <v>1273.2308028701634</v>
      </c>
      <c r="D25" s="201">
        <v>1329.4632402731052</v>
      </c>
      <c r="E25" s="201">
        <v>1385.6956776760467</v>
      </c>
      <c r="F25" s="201">
        <v>1546.7039757453128</v>
      </c>
      <c r="G25" s="201">
        <v>1602.9364131482548</v>
      </c>
      <c r="H25" s="201">
        <v>1660.1483495068314</v>
      </c>
      <c r="I25" s="201">
        <v>1716.380786909773</v>
      </c>
      <c r="J25" s="203">
        <v>1773.59272326835</v>
      </c>
    </row>
    <row r="26" spans="2:11" s="187" customFormat="1" ht="15.45" x14ac:dyDescent="0.4">
      <c r="B26" s="39">
        <v>2000</v>
      </c>
      <c r="C26" s="231" t="s">
        <v>7</v>
      </c>
      <c r="D26" s="205">
        <v>1404.4595820871116</v>
      </c>
      <c r="E26" s="205">
        <v>1571.913995036856</v>
      </c>
      <c r="F26" s="205">
        <v>1636.8780448834229</v>
      </c>
      <c r="G26" s="205">
        <v>1700.5360961224776</v>
      </c>
      <c r="H26" s="205">
        <v>1765.5001459690448</v>
      </c>
      <c r="I26" s="205">
        <v>1829.1581972080992</v>
      </c>
      <c r="J26" s="207">
        <v>1997.9186087653566</v>
      </c>
    </row>
    <row r="27" spans="2:11" s="187" customFormat="1" ht="15.45" x14ac:dyDescent="0.4">
      <c r="B27" s="39">
        <v>2500</v>
      </c>
      <c r="C27" s="231" t="s">
        <v>7</v>
      </c>
      <c r="D27" s="232" t="s">
        <v>7</v>
      </c>
      <c r="E27" s="205">
        <v>1660.5077555547684</v>
      </c>
      <c r="F27" s="205">
        <v>1733.2239188893268</v>
      </c>
      <c r="G27" s="205">
        <v>1804.3075839644941</v>
      </c>
      <c r="H27" s="205">
        <v>1877.0237472990523</v>
      </c>
      <c r="I27" s="205">
        <v>1948.1074123742189</v>
      </c>
      <c r="J27" s="207">
        <v>2124.6199374194675</v>
      </c>
    </row>
    <row r="28" spans="2:11" s="187" customFormat="1" ht="15.45" x14ac:dyDescent="0.4">
      <c r="B28" s="39">
        <v>3000</v>
      </c>
      <c r="C28" s="231" t="s">
        <v>7</v>
      </c>
      <c r="D28" s="232" t="s">
        <v>7</v>
      </c>
      <c r="E28" s="205">
        <v>1841.750354262472</v>
      </c>
      <c r="F28" s="205">
        <v>1922.2186310850211</v>
      </c>
      <c r="G28" s="205">
        <v>2000.7279099963002</v>
      </c>
      <c r="H28" s="205">
        <v>2081.1961868188496</v>
      </c>
      <c r="I28" s="205">
        <v>2159.7054657301287</v>
      </c>
      <c r="J28" s="207">
        <v>2240.173742552679</v>
      </c>
    </row>
    <row r="29" spans="2:11" s="187" customFormat="1" ht="15.45" x14ac:dyDescent="0.4">
      <c r="B29" s="39">
        <v>3500</v>
      </c>
      <c r="C29" s="231" t="s">
        <v>7</v>
      </c>
      <c r="D29" s="232" t="s">
        <v>7</v>
      </c>
      <c r="E29" s="232" t="s">
        <v>7</v>
      </c>
      <c r="F29" s="205">
        <v>2018.7080354366881</v>
      </c>
      <c r="G29" s="205">
        <v>2208.439289894769</v>
      </c>
      <c r="H29" s="205">
        <v>2296.6596802053095</v>
      </c>
      <c r="I29" s="205">
        <v>2382.5945729527007</v>
      </c>
      <c r="J29" s="207">
        <v>2470.8149632632412</v>
      </c>
    </row>
    <row r="30" spans="2:11" s="3" customFormat="1" ht="15.45" x14ac:dyDescent="0.4">
      <c r="B30" s="276" t="s">
        <v>20</v>
      </c>
      <c r="C30" s="97">
        <v>2.1</v>
      </c>
      <c r="D30" s="97">
        <v>3.1500000000000004</v>
      </c>
      <c r="E30" s="97">
        <v>3.1500000000000004</v>
      </c>
      <c r="F30" s="97">
        <v>3.1500000000000004</v>
      </c>
      <c r="G30" s="97">
        <v>3.1500000000000004</v>
      </c>
      <c r="H30" s="97">
        <v>3.1500000000000004</v>
      </c>
      <c r="I30" s="97">
        <v>4.2</v>
      </c>
      <c r="J30" s="97">
        <v>4.2</v>
      </c>
    </row>
    <row r="31" spans="2:11" s="3" customFormat="1" ht="15.45" x14ac:dyDescent="0.4">
      <c r="B31" s="276" t="s">
        <v>21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1.05</v>
      </c>
      <c r="I31" s="97">
        <v>1.05</v>
      </c>
      <c r="J31" s="97">
        <v>1.05</v>
      </c>
    </row>
    <row r="32" spans="2:11" s="3" customFormat="1" ht="15.45" x14ac:dyDescent="0.4">
      <c r="B32" s="276" t="s">
        <v>22</v>
      </c>
      <c r="C32" s="97">
        <v>2.1</v>
      </c>
      <c r="D32" s="97">
        <v>2.1</v>
      </c>
      <c r="E32" s="97">
        <v>2.1</v>
      </c>
      <c r="F32" s="97">
        <v>2.1</v>
      </c>
      <c r="G32" s="97">
        <v>2.1</v>
      </c>
      <c r="H32" s="97">
        <v>2.1</v>
      </c>
      <c r="I32" s="97">
        <v>2.1</v>
      </c>
      <c r="J32" s="97">
        <v>2.1</v>
      </c>
    </row>
    <row r="33" spans="2:12" s="187" customFormat="1" x14ac:dyDescent="0.4">
      <c r="B33" s="185"/>
      <c r="C33" s="186"/>
      <c r="D33" s="186"/>
      <c r="E33" s="186"/>
      <c r="F33" s="186"/>
      <c r="G33" s="186"/>
      <c r="H33" s="186"/>
      <c r="I33" s="186"/>
      <c r="J33" s="186"/>
    </row>
    <row r="34" spans="2:12" s="187" customFormat="1" ht="45.45" x14ac:dyDescent="1.05">
      <c r="B34" s="233" t="s">
        <v>17</v>
      </c>
      <c r="C34" s="190"/>
      <c r="D34" s="190"/>
      <c r="E34" s="190"/>
      <c r="F34" s="190"/>
      <c r="G34" s="6"/>
      <c r="H34" s="191"/>
      <c r="I34" s="191"/>
      <c r="J34" s="191"/>
    </row>
    <row r="35" spans="2:12" s="187" customFormat="1" ht="12.75" customHeight="1" thickBot="1" x14ac:dyDescent="1.1000000000000001">
      <c r="B35" s="233"/>
      <c r="C35" s="190"/>
      <c r="D35" s="190"/>
      <c r="E35" s="190"/>
      <c r="F35" s="190"/>
      <c r="G35" s="6"/>
      <c r="H35" s="234"/>
      <c r="I35" s="234"/>
      <c r="J35" s="234"/>
    </row>
    <row r="36" spans="2:12" s="187" customFormat="1" ht="15.9" thickBot="1" x14ac:dyDescent="0.45">
      <c r="B36" s="35"/>
      <c r="C36" s="36">
        <v>2500</v>
      </c>
      <c r="D36" s="37">
        <v>3000</v>
      </c>
      <c r="E36" s="37">
        <v>3500</v>
      </c>
      <c r="F36" s="37">
        <v>4000</v>
      </c>
      <c r="G36" s="37">
        <v>4500</v>
      </c>
      <c r="H36" s="37">
        <v>5000</v>
      </c>
      <c r="I36" s="37">
        <v>5500</v>
      </c>
      <c r="J36" s="86">
        <v>6000</v>
      </c>
      <c r="K36" s="87"/>
    </row>
    <row r="37" spans="2:12" s="187" customFormat="1" ht="15.45" x14ac:dyDescent="0.4">
      <c r="B37" s="38">
        <v>1500</v>
      </c>
      <c r="C37" s="200">
        <v>1374.8498612607204</v>
      </c>
      <c r="D37" s="201">
        <v>1436.9760213838763</v>
      </c>
      <c r="E37" s="201">
        <v>1499.1021815070317</v>
      </c>
      <c r="F37" s="201">
        <v>1673.6242648904263</v>
      </c>
      <c r="G37" s="201">
        <v>1735.7504250135821</v>
      </c>
      <c r="H37" s="201">
        <v>1798.9273203800551</v>
      </c>
      <c r="I37" s="201">
        <v>1861.0534805032107</v>
      </c>
      <c r="J37" s="203">
        <v>1924.2303758696839</v>
      </c>
    </row>
    <row r="38" spans="2:12" s="187" customFormat="1" ht="15.45" x14ac:dyDescent="0.4">
      <c r="B38" s="39">
        <v>2000</v>
      </c>
      <c r="C38" s="231" t="s">
        <v>7</v>
      </c>
      <c r="D38" s="205">
        <v>1521.0348244207194</v>
      </c>
      <c r="E38" s="205">
        <v>1703.0731946758997</v>
      </c>
      <c r="F38" s="205">
        <v>1775.1673572385805</v>
      </c>
      <c r="G38" s="205">
        <v>1845.8605394768392</v>
      </c>
      <c r="H38" s="205">
        <v>1917.9547020395205</v>
      </c>
      <c r="I38" s="205">
        <v>1988.647884277779</v>
      </c>
      <c r="J38" s="207">
        <v>2172.0872348573826</v>
      </c>
    </row>
    <row r="39" spans="2:12" s="187" customFormat="1" ht="15.45" x14ac:dyDescent="0.4">
      <c r="B39" s="39">
        <v>2500</v>
      </c>
      <c r="C39" s="231" t="s">
        <v>7</v>
      </c>
      <c r="D39" s="232" t="s">
        <v>7</v>
      </c>
      <c r="E39" s="205">
        <v>1802.3196832314786</v>
      </c>
      <c r="F39" s="205">
        <v>1883.3311129903684</v>
      </c>
      <c r="G39" s="205">
        <v>1962.5913173437298</v>
      </c>
      <c r="H39" s="205">
        <v>2043.6027471026196</v>
      </c>
      <c r="I39" s="205">
        <v>2122.8629514559798</v>
      </c>
      <c r="J39" s="207">
        <v>2315.2195692317914</v>
      </c>
    </row>
    <row r="40" spans="2:12" s="187" customFormat="1" ht="15.45" x14ac:dyDescent="0.4">
      <c r="B40" s="39">
        <v>3000</v>
      </c>
      <c r="C40" s="231" t="s">
        <v>7</v>
      </c>
      <c r="D40" s="232" t="s">
        <v>7</v>
      </c>
      <c r="E40" s="205">
        <v>2000.9531072997424</v>
      </c>
      <c r="F40" s="205">
        <v>2090.881804254841</v>
      </c>
      <c r="G40" s="205">
        <v>2178.7090307233038</v>
      </c>
      <c r="H40" s="205">
        <v>2268.6377276784024</v>
      </c>
      <c r="I40" s="205">
        <v>2356.4649541468652</v>
      </c>
      <c r="J40" s="207">
        <v>2446.3936511019642</v>
      </c>
    </row>
    <row r="41" spans="2:12" s="187" customFormat="1" ht="15.45" x14ac:dyDescent="0.4">
      <c r="B41" s="39">
        <v>3500</v>
      </c>
      <c r="C41" s="231" t="s">
        <v>7</v>
      </c>
      <c r="D41" s="232" t="s">
        <v>7</v>
      </c>
      <c r="E41" s="232" t="s">
        <v>7</v>
      </c>
      <c r="F41" s="205">
        <v>2199.1995289229926</v>
      </c>
      <c r="G41" s="205">
        <v>2406.9389655234791</v>
      </c>
      <c r="H41" s="205">
        <v>2505.7849296747859</v>
      </c>
      <c r="I41" s="205">
        <v>2602.1791782583509</v>
      </c>
      <c r="J41" s="207">
        <v>2701.0251424096582</v>
      </c>
    </row>
    <row r="42" spans="2:12" s="3" customFormat="1" ht="15.45" x14ac:dyDescent="0.4">
      <c r="B42" s="276" t="s">
        <v>20</v>
      </c>
      <c r="C42" s="97">
        <v>2.1</v>
      </c>
      <c r="D42" s="97">
        <v>3.1500000000000004</v>
      </c>
      <c r="E42" s="97">
        <v>3.1500000000000004</v>
      </c>
      <c r="F42" s="97">
        <v>3.1500000000000004</v>
      </c>
      <c r="G42" s="97">
        <v>3.1500000000000004</v>
      </c>
      <c r="H42" s="97">
        <v>3.1500000000000004</v>
      </c>
      <c r="I42" s="97">
        <v>4.2</v>
      </c>
      <c r="J42" s="97">
        <v>4.2</v>
      </c>
    </row>
    <row r="43" spans="2:12" s="3" customFormat="1" ht="15.45" x14ac:dyDescent="0.4">
      <c r="B43" s="277" t="s">
        <v>21</v>
      </c>
      <c r="C43" s="278">
        <v>0</v>
      </c>
      <c r="D43" s="278">
        <v>0</v>
      </c>
      <c r="E43" s="278">
        <v>0</v>
      </c>
      <c r="F43" s="278">
        <v>0</v>
      </c>
      <c r="G43" s="278">
        <v>0</v>
      </c>
      <c r="H43" s="278">
        <v>1.05</v>
      </c>
      <c r="I43" s="278">
        <v>1.05</v>
      </c>
      <c r="J43" s="278">
        <v>1.05</v>
      </c>
    </row>
    <row r="44" spans="2:12" s="3" customFormat="1" ht="15.45" x14ac:dyDescent="0.4">
      <c r="B44" s="276" t="s">
        <v>22</v>
      </c>
      <c r="C44" s="97">
        <v>2.1</v>
      </c>
      <c r="D44" s="97">
        <v>2.1</v>
      </c>
      <c r="E44" s="97">
        <v>2.1</v>
      </c>
      <c r="F44" s="97">
        <v>2.1</v>
      </c>
      <c r="G44" s="97">
        <v>2.1</v>
      </c>
      <c r="H44" s="97">
        <v>2.1</v>
      </c>
      <c r="I44" s="97">
        <v>2.1</v>
      </c>
      <c r="J44" s="97">
        <v>2.1</v>
      </c>
    </row>
    <row r="45" spans="2:12" s="187" customFormat="1" x14ac:dyDescent="0.4">
      <c r="B45" s="185"/>
      <c r="C45" s="186"/>
      <c r="D45" s="186"/>
      <c r="E45" s="186"/>
      <c r="F45" s="186"/>
      <c r="G45" s="186"/>
      <c r="H45" s="186"/>
      <c r="I45" s="186"/>
      <c r="J45" s="186"/>
    </row>
    <row r="46" spans="2:12" s="187" customFormat="1" ht="45.45" x14ac:dyDescent="1.05">
      <c r="B46" s="233" t="s">
        <v>18</v>
      </c>
      <c r="C46" s="190"/>
      <c r="D46" s="190"/>
      <c r="E46" s="190"/>
      <c r="F46" s="190"/>
      <c r="G46" s="6"/>
      <c r="H46" s="191"/>
      <c r="I46" s="191"/>
      <c r="J46" s="191"/>
    </row>
    <row r="47" spans="2:12" s="187" customFormat="1" ht="15.75" customHeight="1" thickBot="1" x14ac:dyDescent="1.1000000000000001">
      <c r="B47" s="233"/>
      <c r="C47" s="190"/>
      <c r="D47" s="190"/>
      <c r="E47" s="190"/>
      <c r="F47" s="190"/>
      <c r="G47" s="6"/>
      <c r="H47" s="234"/>
      <c r="I47" s="234"/>
      <c r="J47" s="234"/>
    </row>
    <row r="48" spans="2:12" s="187" customFormat="1" ht="15.9" thickBot="1" x14ac:dyDescent="0.45">
      <c r="B48" s="35"/>
      <c r="C48" s="36">
        <v>2500</v>
      </c>
      <c r="D48" s="37">
        <v>3000</v>
      </c>
      <c r="E48" s="37">
        <v>3500</v>
      </c>
      <c r="F48" s="37">
        <v>4000</v>
      </c>
      <c r="G48" s="37">
        <v>4500</v>
      </c>
      <c r="H48" s="37">
        <v>5000</v>
      </c>
      <c r="I48" s="37">
        <v>5500</v>
      </c>
      <c r="J48" s="37">
        <v>6000</v>
      </c>
      <c r="K48" s="40">
        <v>6500</v>
      </c>
      <c r="L48" s="88">
        <v>7000</v>
      </c>
    </row>
    <row r="49" spans="2:12" s="187" customFormat="1" ht="15.45" x14ac:dyDescent="0.4">
      <c r="B49" s="38">
        <v>1500</v>
      </c>
      <c r="C49" s="200">
        <v>1425.6593904559991</v>
      </c>
      <c r="D49" s="201">
        <v>1490.7324119392622</v>
      </c>
      <c r="E49" s="201">
        <v>1555.8054334225244</v>
      </c>
      <c r="F49" s="201">
        <v>1737.0844094629833</v>
      </c>
      <c r="G49" s="201">
        <v>1802.1574309462458</v>
      </c>
      <c r="H49" s="201">
        <v>1868.3168058166671</v>
      </c>
      <c r="I49" s="201">
        <v>1933.3898272999297</v>
      </c>
      <c r="J49" s="201">
        <v>1999.5492021703512</v>
      </c>
      <c r="K49" s="235">
        <v>2135.548646322276</v>
      </c>
      <c r="L49" s="236">
        <v>2282.8044890648357</v>
      </c>
    </row>
    <row r="50" spans="2:12" s="187" customFormat="1" ht="15.45" x14ac:dyDescent="0.4">
      <c r="B50" s="39">
        <v>2000</v>
      </c>
      <c r="C50" s="231" t="s">
        <v>7</v>
      </c>
      <c r="D50" s="205">
        <v>1579.3224455875234</v>
      </c>
      <c r="E50" s="205">
        <v>1768.6527944954221</v>
      </c>
      <c r="F50" s="205">
        <v>1844.3120134161597</v>
      </c>
      <c r="G50" s="205">
        <v>1918.5227611540201</v>
      </c>
      <c r="H50" s="205">
        <v>1994.1819800747587</v>
      </c>
      <c r="I50" s="205">
        <v>2068.3927278126189</v>
      </c>
      <c r="J50" s="205">
        <v>2259.1715479033951</v>
      </c>
      <c r="K50" s="237">
        <v>2412.0215562566327</v>
      </c>
      <c r="L50" s="238">
        <v>2577.8863151945975</v>
      </c>
    </row>
    <row r="51" spans="2:12" s="187" customFormat="1" ht="15.45" x14ac:dyDescent="0.4">
      <c r="B51" s="39">
        <v>2500</v>
      </c>
      <c r="C51" s="231" t="s">
        <v>7</v>
      </c>
      <c r="D51" s="232" t="s">
        <v>7</v>
      </c>
      <c r="E51" s="205">
        <v>1873.2256470698339</v>
      </c>
      <c r="F51" s="205">
        <v>1958.3847100408893</v>
      </c>
      <c r="G51" s="205">
        <v>2041.7331840333477</v>
      </c>
      <c r="H51" s="205">
        <v>2126.8922470044031</v>
      </c>
      <c r="I51" s="205">
        <v>2210.2407209968605</v>
      </c>
      <c r="J51" s="205">
        <v>2410.5193851379545</v>
      </c>
      <c r="K51" s="237">
        <v>2572.6407420976111</v>
      </c>
      <c r="L51" s="238">
        <v>2749.0046565444441</v>
      </c>
    </row>
    <row r="52" spans="2:12" s="187" customFormat="1" ht="15.45" x14ac:dyDescent="0.4">
      <c r="B52" s="39">
        <v>3000</v>
      </c>
      <c r="C52" s="231" t="s">
        <v>7</v>
      </c>
      <c r="D52" s="232" t="s">
        <v>7</v>
      </c>
      <c r="E52" s="205">
        <v>2080.5544838183778</v>
      </c>
      <c r="F52" s="205">
        <v>2175.2133908397514</v>
      </c>
      <c r="G52" s="205">
        <v>2267.6995910868059</v>
      </c>
      <c r="H52" s="205">
        <v>2362.3584981081785</v>
      </c>
      <c r="I52" s="205">
        <v>2454.8446983552335</v>
      </c>
      <c r="J52" s="205">
        <v>2549.5036053766075</v>
      </c>
      <c r="K52" s="237">
        <v>2720.0308577529704</v>
      </c>
      <c r="L52" s="238">
        <v>2905.9678927956788</v>
      </c>
    </row>
    <row r="53" spans="2:12" s="187" customFormat="1" ht="15.45" x14ac:dyDescent="0.4">
      <c r="B53" s="39">
        <v>3500</v>
      </c>
      <c r="C53" s="231" t="s">
        <v>7</v>
      </c>
      <c r="D53" s="232" t="s">
        <v>7</v>
      </c>
      <c r="E53" s="232" t="s">
        <v>7</v>
      </c>
      <c r="F53" s="205">
        <v>2289.4452756661453</v>
      </c>
      <c r="G53" s="205">
        <v>2506.1888033378341</v>
      </c>
      <c r="H53" s="205">
        <v>2610.3475544095249</v>
      </c>
      <c r="I53" s="205">
        <v>2711.9714809111765</v>
      </c>
      <c r="J53" s="205">
        <v>2816.1302319828674</v>
      </c>
      <c r="K53" s="237">
        <v>3003.9983482216685</v>
      </c>
      <c r="L53" s="238">
        <v>3209.0689200971856</v>
      </c>
    </row>
    <row r="54" spans="2:12" s="3" customFormat="1" ht="15.45" x14ac:dyDescent="0.4">
      <c r="B54" s="276" t="s">
        <v>22</v>
      </c>
      <c r="C54" s="97">
        <v>2.1</v>
      </c>
      <c r="D54" s="97">
        <v>2.1</v>
      </c>
      <c r="E54" s="97">
        <v>2.1</v>
      </c>
      <c r="F54" s="97">
        <v>2.1</v>
      </c>
      <c r="G54" s="97">
        <v>2.1</v>
      </c>
      <c r="H54" s="97">
        <v>2.1</v>
      </c>
      <c r="I54" s="97">
        <v>2.1</v>
      </c>
      <c r="J54" s="97">
        <v>2.1</v>
      </c>
      <c r="K54" s="97">
        <v>3.1500000000000004</v>
      </c>
      <c r="L54" s="97">
        <v>3.1500000000000004</v>
      </c>
    </row>
    <row r="55" spans="2:12" s="3" customFormat="1" ht="15.45" x14ac:dyDescent="0.4">
      <c r="B55" s="276" t="s">
        <v>52</v>
      </c>
      <c r="C55" s="97">
        <v>2.1</v>
      </c>
      <c r="D55" s="97">
        <v>2.1</v>
      </c>
      <c r="E55" s="97">
        <v>2.1</v>
      </c>
      <c r="F55" s="97">
        <v>2.1</v>
      </c>
      <c r="G55" s="97">
        <v>1.05</v>
      </c>
      <c r="H55" s="97">
        <v>1.05</v>
      </c>
      <c r="I55" s="97">
        <v>1.05</v>
      </c>
      <c r="J55" s="97">
        <v>1.05</v>
      </c>
      <c r="K55" s="97">
        <v>0</v>
      </c>
      <c r="L55" s="97">
        <v>0</v>
      </c>
    </row>
    <row r="56" spans="2:12" s="3" customFormat="1" ht="15.45" x14ac:dyDescent="0.4">
      <c r="B56" s="276" t="s">
        <v>53</v>
      </c>
      <c r="C56" s="97">
        <v>0</v>
      </c>
      <c r="D56" s="97">
        <v>0</v>
      </c>
      <c r="E56" s="97">
        <v>0</v>
      </c>
      <c r="F56" s="97">
        <v>0</v>
      </c>
      <c r="G56" s="97">
        <v>2.1</v>
      </c>
      <c r="H56" s="97">
        <v>2.1</v>
      </c>
      <c r="I56" s="97">
        <v>2.1</v>
      </c>
      <c r="J56" s="97">
        <v>2.1</v>
      </c>
      <c r="K56" s="97">
        <v>3.1500000000000004</v>
      </c>
      <c r="L56" s="97">
        <v>3.1500000000000004</v>
      </c>
    </row>
    <row r="57" spans="2:12" s="3" customFormat="1" ht="15.45" x14ac:dyDescent="0.4">
      <c r="B57" s="277" t="s">
        <v>21</v>
      </c>
      <c r="C57" s="97">
        <v>0</v>
      </c>
      <c r="D57" s="97">
        <v>0</v>
      </c>
      <c r="E57" s="97">
        <v>0</v>
      </c>
      <c r="F57" s="97">
        <v>0</v>
      </c>
      <c r="G57" s="97">
        <v>2.1</v>
      </c>
      <c r="H57" s="97">
        <v>2.1</v>
      </c>
      <c r="I57" s="97">
        <v>2.1</v>
      </c>
      <c r="J57" s="97">
        <v>2.1</v>
      </c>
      <c r="K57" s="97">
        <v>3.1500000000000004</v>
      </c>
      <c r="L57" s="97">
        <v>3.1500000000000004</v>
      </c>
    </row>
    <row r="58" spans="2:12" s="187" customFormat="1" x14ac:dyDescent="0.4">
      <c r="B58" s="185"/>
      <c r="C58" s="239"/>
      <c r="D58" s="239"/>
      <c r="E58" s="239"/>
      <c r="F58" s="239"/>
      <c r="G58" s="239"/>
      <c r="H58" s="239"/>
      <c r="I58" s="239"/>
      <c r="J58" s="239"/>
      <c r="K58" s="240"/>
      <c r="L58" s="240"/>
    </row>
    <row r="59" spans="2:12" s="187" customFormat="1" x14ac:dyDescent="0.4"/>
    <row r="60" spans="2:12" s="94" customFormat="1" ht="45.9" thickBot="1" x14ac:dyDescent="1.1000000000000001">
      <c r="B60" s="241" t="s">
        <v>23</v>
      </c>
      <c r="C60" s="242"/>
      <c r="D60" s="242"/>
      <c r="E60" s="242"/>
      <c r="F60" s="242"/>
      <c r="G60" s="43"/>
      <c r="H60" s="243"/>
      <c r="I60" s="243"/>
      <c r="J60" s="244"/>
    </row>
    <row r="61" spans="2:12" s="94" customFormat="1" ht="15.9" thickBot="1" x14ac:dyDescent="0.45">
      <c r="B61" s="90"/>
      <c r="C61" s="91">
        <v>2500</v>
      </c>
      <c r="D61" s="92">
        <v>3000</v>
      </c>
      <c r="E61" s="92">
        <v>3500</v>
      </c>
      <c r="F61" s="92">
        <v>4000</v>
      </c>
      <c r="G61" s="92">
        <v>4500</v>
      </c>
      <c r="H61" s="92">
        <v>5000</v>
      </c>
      <c r="I61" s="92">
        <v>5500</v>
      </c>
      <c r="J61" s="93">
        <v>6000</v>
      </c>
    </row>
    <row r="62" spans="2:12" s="94" customFormat="1" ht="15.45" x14ac:dyDescent="0.4">
      <c r="B62" s="95">
        <v>1500</v>
      </c>
      <c r="C62" s="200">
        <v>609.0437991484506</v>
      </c>
      <c r="D62" s="201">
        <v>702.16557275975026</v>
      </c>
      <c r="E62" s="201">
        <v>795.28734637104992</v>
      </c>
      <c r="F62" s="201">
        <v>888.40911998234958</v>
      </c>
      <c r="G62" s="201">
        <v>981.53089359364913</v>
      </c>
      <c r="H62" s="201">
        <v>1080.2739217188241</v>
      </c>
      <c r="I62" s="201">
        <v>1173.3956953301235</v>
      </c>
      <c r="J62" s="203">
        <v>1266.517468941423</v>
      </c>
    </row>
    <row r="63" spans="2:12" s="94" customFormat="1" ht="15.45" x14ac:dyDescent="0.4">
      <c r="B63" s="96">
        <v>2000</v>
      </c>
      <c r="C63" s="231" t="s">
        <v>7</v>
      </c>
      <c r="D63" s="205">
        <v>744.01552581684984</v>
      </c>
      <c r="E63" s="205">
        <v>842.65344221858925</v>
      </c>
      <c r="F63" s="205">
        <v>941.29135862032842</v>
      </c>
      <c r="G63" s="205">
        <v>1039.9292750220673</v>
      </c>
      <c r="H63" s="205">
        <v>1144.1884459376818</v>
      </c>
      <c r="I63" s="205">
        <v>1242.8263623394209</v>
      </c>
      <c r="J63" s="207">
        <v>1341.4642787411599</v>
      </c>
    </row>
    <row r="64" spans="2:12" s="94" customFormat="1" ht="15.45" x14ac:dyDescent="0.4">
      <c r="B64" s="96">
        <v>2500</v>
      </c>
      <c r="C64" s="231" t="s">
        <v>7</v>
      </c>
      <c r="D64" s="232" t="s">
        <v>7</v>
      </c>
      <c r="E64" s="205">
        <v>889.9793862481722</v>
      </c>
      <c r="F64" s="205">
        <v>994.13344544035101</v>
      </c>
      <c r="G64" s="205">
        <v>1098.2875046325296</v>
      </c>
      <c r="H64" s="205">
        <v>1208.0628183385834</v>
      </c>
      <c r="I64" s="205">
        <v>1312.2168775307621</v>
      </c>
      <c r="J64" s="207">
        <v>1416.3709367229405</v>
      </c>
    </row>
    <row r="65" spans="2:11" s="94" customFormat="1" ht="15.45" x14ac:dyDescent="0.4">
      <c r="B65" s="96">
        <v>3000</v>
      </c>
      <c r="C65" s="231" t="s">
        <v>7</v>
      </c>
      <c r="D65" s="232" t="s">
        <v>7</v>
      </c>
      <c r="E65" s="205">
        <v>949.10996475689262</v>
      </c>
      <c r="F65" s="205">
        <v>1058.7801667395111</v>
      </c>
      <c r="G65" s="205">
        <v>1168.4503687221293</v>
      </c>
      <c r="H65" s="205">
        <v>1283.7418252186221</v>
      </c>
      <c r="I65" s="205">
        <v>1393.4120272012403</v>
      </c>
      <c r="J65" s="207">
        <v>1503.0822291838585</v>
      </c>
    </row>
    <row r="66" spans="2:11" s="3" customFormat="1" ht="15.45" x14ac:dyDescent="0.4">
      <c r="B66" s="276" t="s">
        <v>20</v>
      </c>
      <c r="C66" s="97">
        <v>2.1</v>
      </c>
      <c r="D66" s="97">
        <v>2.1</v>
      </c>
      <c r="E66" s="97">
        <v>3.1500000000000004</v>
      </c>
      <c r="F66" s="97">
        <v>3.1500000000000004</v>
      </c>
      <c r="G66" s="97">
        <v>4.2</v>
      </c>
      <c r="H66" s="97">
        <v>4.2</v>
      </c>
      <c r="I66" s="97">
        <v>5.25</v>
      </c>
      <c r="J66" s="97">
        <v>5.25</v>
      </c>
    </row>
    <row r="67" spans="2:11" s="3" customFormat="1" ht="15.45" x14ac:dyDescent="0.4">
      <c r="B67" s="276" t="s">
        <v>51</v>
      </c>
      <c r="C67" s="97">
        <v>3.1500000000000004</v>
      </c>
      <c r="D67" s="97">
        <v>3.1500000000000004</v>
      </c>
      <c r="E67" s="97">
        <v>3.1500000000000004</v>
      </c>
      <c r="F67" s="97">
        <v>5.25</v>
      </c>
      <c r="G67" s="97">
        <v>5.25</v>
      </c>
      <c r="H67" s="97">
        <v>5.25</v>
      </c>
      <c r="I67" s="97">
        <v>5.25</v>
      </c>
      <c r="J67" s="97">
        <v>5.25</v>
      </c>
    </row>
    <row r="68" spans="2:11" s="3" customFormat="1" ht="15.45" x14ac:dyDescent="0.4">
      <c r="B68" s="277" t="s">
        <v>21</v>
      </c>
      <c r="C68" s="278">
        <v>0</v>
      </c>
      <c r="D68" s="278">
        <v>0</v>
      </c>
      <c r="E68" s="278">
        <v>0</v>
      </c>
      <c r="F68" s="278">
        <v>1.05</v>
      </c>
      <c r="G68" s="278">
        <v>1.05</v>
      </c>
      <c r="H68" s="278">
        <v>1.05</v>
      </c>
      <c r="I68" s="278">
        <v>1.05</v>
      </c>
      <c r="J68" s="278">
        <v>1.05</v>
      </c>
    </row>
    <row r="69" spans="2:11" s="3" customFormat="1" ht="15.45" x14ac:dyDescent="0.4">
      <c r="B69" s="276" t="s">
        <v>22</v>
      </c>
      <c r="C69" s="97">
        <v>2.1</v>
      </c>
      <c r="D69" s="97">
        <v>2.1</v>
      </c>
      <c r="E69" s="97">
        <v>2.1</v>
      </c>
      <c r="F69" s="97">
        <v>2.1</v>
      </c>
      <c r="G69" s="97">
        <v>2.1</v>
      </c>
      <c r="H69" s="97">
        <v>2.1</v>
      </c>
      <c r="I69" s="97">
        <v>2.1</v>
      </c>
      <c r="J69" s="97">
        <v>2.1</v>
      </c>
    </row>
    <row r="70" spans="2:11" s="275" customFormat="1" ht="15.45" x14ac:dyDescent="0.4">
      <c r="B70" s="277" t="s">
        <v>54</v>
      </c>
      <c r="C70" s="278">
        <v>37.800000000000004</v>
      </c>
      <c r="D70" s="278">
        <v>44.1</v>
      </c>
      <c r="E70" s="278">
        <v>50.400000000000006</v>
      </c>
      <c r="F70" s="278">
        <v>56.7</v>
      </c>
      <c r="G70" s="278">
        <v>63</v>
      </c>
      <c r="H70" s="278">
        <v>69.3</v>
      </c>
      <c r="I70" s="278">
        <v>75.600000000000009</v>
      </c>
      <c r="J70" s="278">
        <v>81.900000000000006</v>
      </c>
    </row>
    <row r="71" spans="2:11" s="94" customFormat="1" x14ac:dyDescent="0.4">
      <c r="B71" s="245"/>
      <c r="C71" s="246"/>
      <c r="D71" s="246"/>
      <c r="E71" s="246"/>
      <c r="F71" s="246"/>
      <c r="G71" s="246"/>
      <c r="H71" s="246"/>
      <c r="I71" s="246"/>
      <c r="J71" s="246"/>
    </row>
    <row r="72" spans="2:11" s="94" customFormat="1" ht="45.9" thickBot="1" x14ac:dyDescent="1.1000000000000001">
      <c r="B72" s="241" t="s">
        <v>24</v>
      </c>
      <c r="C72" s="242"/>
      <c r="D72" s="242"/>
      <c r="E72" s="242"/>
      <c r="F72" s="242"/>
      <c r="G72" s="247"/>
      <c r="H72" s="243"/>
      <c r="I72" s="243"/>
      <c r="J72" s="244"/>
    </row>
    <row r="73" spans="2:11" s="94" customFormat="1" ht="15.9" thickBot="1" x14ac:dyDescent="0.45">
      <c r="B73" s="90"/>
      <c r="C73" s="91">
        <v>2500</v>
      </c>
      <c r="D73" s="92">
        <v>3000</v>
      </c>
      <c r="E73" s="92">
        <v>3500</v>
      </c>
      <c r="F73" s="92">
        <v>4000</v>
      </c>
      <c r="G73" s="92">
        <v>4500</v>
      </c>
      <c r="H73" s="92">
        <v>5000</v>
      </c>
      <c r="I73" s="92">
        <v>5500</v>
      </c>
      <c r="J73" s="93">
        <v>6000</v>
      </c>
      <c r="K73" s="89"/>
    </row>
    <row r="74" spans="2:11" s="94" customFormat="1" ht="15.45" x14ac:dyDescent="0.4">
      <c r="B74" s="95">
        <v>1500</v>
      </c>
      <c r="C74" s="200">
        <v>716.12059786376483</v>
      </c>
      <c r="D74" s="201">
        <v>823.48099527662725</v>
      </c>
      <c r="E74" s="201">
        <v>930.84139268948945</v>
      </c>
      <c r="F74" s="201">
        <v>1038.2017901023519</v>
      </c>
      <c r="G74" s="201">
        <v>1145.5621875152142</v>
      </c>
      <c r="H74" s="201">
        <v>1252.9225849280765</v>
      </c>
      <c r="I74" s="201">
        <v>1360.2829823409393</v>
      </c>
      <c r="J74" s="203">
        <v>1467.6433797538016</v>
      </c>
    </row>
    <row r="75" spans="2:11" s="94" customFormat="1" ht="15.45" x14ac:dyDescent="0.4">
      <c r="B75" s="96">
        <v>2000</v>
      </c>
      <c r="C75" s="231" t="s">
        <v>7</v>
      </c>
      <c r="D75" s="205">
        <v>865.55178333248648</v>
      </c>
      <c r="E75" s="205">
        <v>978.42832353578797</v>
      </c>
      <c r="F75" s="205">
        <v>1091.30486373909</v>
      </c>
      <c r="G75" s="205">
        <v>1204.1814039423919</v>
      </c>
      <c r="H75" s="205">
        <v>1317.0579441456939</v>
      </c>
      <c r="I75" s="205">
        <v>1429.9344843489957</v>
      </c>
      <c r="J75" s="207">
        <v>1542.8110245522976</v>
      </c>
    </row>
    <row r="76" spans="2:11" s="94" customFormat="1" ht="15.45" x14ac:dyDescent="0.4">
      <c r="B76" s="96">
        <v>2500</v>
      </c>
      <c r="C76" s="231" t="s">
        <v>7</v>
      </c>
      <c r="D76" s="232" t="s">
        <v>7</v>
      </c>
      <c r="E76" s="205">
        <v>1025.9751025641306</v>
      </c>
      <c r="F76" s="205">
        <v>1144.3677855578721</v>
      </c>
      <c r="G76" s="205">
        <v>1262.7604685516135</v>
      </c>
      <c r="H76" s="205">
        <v>1381.1531515453548</v>
      </c>
      <c r="I76" s="205">
        <v>1499.5458345390962</v>
      </c>
      <c r="J76" s="207">
        <v>1617.9385175328377</v>
      </c>
    </row>
    <row r="77" spans="2:11" s="94" customFormat="1" ht="15.45" x14ac:dyDescent="0.4">
      <c r="B77" s="96">
        <v>3000</v>
      </c>
      <c r="C77" s="231" t="s">
        <v>7</v>
      </c>
      <c r="D77" s="232" t="s">
        <v>7</v>
      </c>
      <c r="E77" s="205">
        <v>1076.0313702147387</v>
      </c>
      <c r="F77" s="205">
        <v>1199.9401959989193</v>
      </c>
      <c r="G77" s="205">
        <v>1323.8490217831004</v>
      </c>
      <c r="H77" s="205">
        <v>1447.7578475672815</v>
      </c>
      <c r="I77" s="205">
        <v>1571.6666733514624</v>
      </c>
      <c r="J77" s="207">
        <v>1695.5754991356434</v>
      </c>
    </row>
    <row r="78" spans="2:11" s="3" customFormat="1" ht="15.45" x14ac:dyDescent="0.4">
      <c r="B78" s="276" t="s">
        <v>20</v>
      </c>
      <c r="C78" s="97">
        <v>3.1500000000000004</v>
      </c>
      <c r="D78" s="97">
        <v>3.1500000000000004</v>
      </c>
      <c r="E78" s="97">
        <v>3.1500000000000004</v>
      </c>
      <c r="F78" s="97">
        <v>3.1500000000000004</v>
      </c>
      <c r="G78" s="97">
        <v>4.2</v>
      </c>
      <c r="H78" s="97">
        <v>4.2</v>
      </c>
      <c r="I78" s="97">
        <v>4.2</v>
      </c>
      <c r="J78" s="97">
        <v>4.2</v>
      </c>
    </row>
    <row r="79" spans="2:11" s="3" customFormat="1" ht="15.45" x14ac:dyDescent="0.4">
      <c r="B79" s="276" t="s">
        <v>51</v>
      </c>
      <c r="C79" s="97">
        <v>4.2</v>
      </c>
      <c r="D79" s="97">
        <v>4.2</v>
      </c>
      <c r="E79" s="97">
        <v>4.2</v>
      </c>
      <c r="F79" s="97">
        <v>4.2</v>
      </c>
      <c r="G79" s="97">
        <v>5.25</v>
      </c>
      <c r="H79" s="97">
        <v>5.25</v>
      </c>
      <c r="I79" s="97">
        <v>5.25</v>
      </c>
      <c r="J79" s="97">
        <v>5.25</v>
      </c>
    </row>
    <row r="80" spans="2:11" s="3" customFormat="1" ht="15.45" x14ac:dyDescent="0.4">
      <c r="B80" s="277" t="s">
        <v>21</v>
      </c>
      <c r="C80" s="278">
        <v>0</v>
      </c>
      <c r="D80" s="278">
        <v>0</v>
      </c>
      <c r="E80" s="278">
        <v>0</v>
      </c>
      <c r="F80" s="278">
        <v>1.05</v>
      </c>
      <c r="G80" s="278">
        <v>1.05</v>
      </c>
      <c r="H80" s="278">
        <v>1.05</v>
      </c>
      <c r="I80" s="278">
        <v>1.05</v>
      </c>
      <c r="J80" s="278">
        <v>1.05</v>
      </c>
    </row>
    <row r="81" spans="2:12" s="3" customFormat="1" ht="15.45" x14ac:dyDescent="0.4">
      <c r="B81" s="276" t="s">
        <v>22</v>
      </c>
      <c r="C81" s="97">
        <v>2.1</v>
      </c>
      <c r="D81" s="97">
        <v>2.1</v>
      </c>
      <c r="E81" s="97">
        <v>2.1</v>
      </c>
      <c r="F81" s="97">
        <v>2.1</v>
      </c>
      <c r="G81" s="97">
        <v>2.1</v>
      </c>
      <c r="H81" s="97">
        <v>2.1</v>
      </c>
      <c r="I81" s="97">
        <v>2.1</v>
      </c>
      <c r="J81" s="97">
        <v>2.1</v>
      </c>
    </row>
    <row r="82" spans="2:12" s="94" customFormat="1" x14ac:dyDescent="0.4"/>
    <row r="83" spans="2:12" s="94" customFormat="1" ht="20.6" x14ac:dyDescent="0.55000000000000004">
      <c r="B83" s="188" t="s">
        <v>25</v>
      </c>
    </row>
    <row r="84" spans="2:12" s="94" customFormat="1" ht="20.6" x14ac:dyDescent="0.55000000000000004">
      <c r="B84" s="188" t="s">
        <v>35</v>
      </c>
    </row>
    <row r="85" spans="2:12" s="187" customFormat="1" x14ac:dyDescent="0.4"/>
    <row r="86" spans="2:12" s="187" customFormat="1" ht="16.75" x14ac:dyDescent="0.45">
      <c r="B86" s="279" t="s">
        <v>55</v>
      </c>
      <c r="C86" s="280"/>
      <c r="D86" s="280"/>
      <c r="E86" s="280"/>
      <c r="F86" s="280"/>
      <c r="G86" s="280"/>
      <c r="H86" s="280"/>
      <c r="I86" s="280"/>
      <c r="J86" s="280"/>
      <c r="K86" s="281"/>
      <c r="L86" s="281"/>
    </row>
    <row r="87" spans="2:12" s="187" customFormat="1" ht="16.75" x14ac:dyDescent="0.45">
      <c r="B87" s="279" t="s">
        <v>56</v>
      </c>
      <c r="C87" s="280"/>
      <c r="D87" s="280"/>
      <c r="E87" s="280"/>
      <c r="F87" s="280"/>
      <c r="G87" s="280"/>
      <c r="H87" s="280"/>
      <c r="I87" s="280"/>
      <c r="J87" s="280"/>
      <c r="K87" s="281"/>
      <c r="L87" s="281"/>
    </row>
    <row r="88" spans="2:12" s="187" customFormat="1" ht="16.75" x14ac:dyDescent="0.45">
      <c r="B88" s="279" t="s">
        <v>57</v>
      </c>
      <c r="C88" s="282"/>
      <c r="D88" s="282"/>
      <c r="E88" s="282"/>
      <c r="F88" s="282"/>
      <c r="G88" s="282"/>
      <c r="H88" s="282"/>
      <c r="I88" s="282"/>
      <c r="J88" s="282"/>
      <c r="K88" s="283"/>
      <c r="L88" s="283"/>
    </row>
    <row r="89" spans="2:12" s="94" customFormat="1" x14ac:dyDescent="0.4"/>
    <row r="90" spans="2:12" s="187" customFormat="1" ht="45.9" thickBot="1" x14ac:dyDescent="1.1000000000000001">
      <c r="B90" s="189" t="s">
        <v>32</v>
      </c>
      <c r="C90" s="190"/>
      <c r="D90" s="190"/>
      <c r="E90" s="190"/>
      <c r="F90" s="190"/>
      <c r="G90" s="6"/>
      <c r="H90" s="191"/>
      <c r="I90" s="191"/>
      <c r="J90" s="191"/>
      <c r="K90" s="192"/>
      <c r="L90" s="192"/>
    </row>
    <row r="91" spans="2:12" s="187" customFormat="1" ht="15.9" thickBot="1" x14ac:dyDescent="0.45">
      <c r="B91" s="193"/>
      <c r="C91" s="36">
        <v>2500</v>
      </c>
      <c r="D91" s="37">
        <v>3000</v>
      </c>
      <c r="E91" s="37">
        <v>3500</v>
      </c>
      <c r="F91" s="37">
        <v>4000</v>
      </c>
      <c r="G91" s="37">
        <v>4500</v>
      </c>
      <c r="H91" s="37">
        <v>5000</v>
      </c>
      <c r="I91" s="37">
        <v>5500</v>
      </c>
      <c r="J91" s="37">
        <v>6000</v>
      </c>
      <c r="K91" s="37">
        <v>6500</v>
      </c>
      <c r="L91" s="86">
        <v>7000</v>
      </c>
    </row>
    <row r="92" spans="2:12" s="187" customFormat="1" ht="15.45" x14ac:dyDescent="0.4">
      <c r="B92" s="194">
        <v>1500</v>
      </c>
      <c r="C92" s="200">
        <v>171.43875000000003</v>
      </c>
      <c r="D92" s="201">
        <v>205.72650000000004</v>
      </c>
      <c r="E92" s="201">
        <v>240.01425000000006</v>
      </c>
      <c r="F92" s="201">
        <v>274.30200000000002</v>
      </c>
      <c r="G92" s="201">
        <v>308.58974999999998</v>
      </c>
      <c r="H92" s="201">
        <v>342.87750000000005</v>
      </c>
      <c r="I92" s="201">
        <v>377.16525000000007</v>
      </c>
      <c r="J92" s="201">
        <v>411.45300000000009</v>
      </c>
      <c r="K92" s="201">
        <v>445.74075000000005</v>
      </c>
      <c r="L92" s="203">
        <v>480.02850000000012</v>
      </c>
    </row>
    <row r="93" spans="2:12" s="187" customFormat="1" ht="15.45" x14ac:dyDescent="0.4">
      <c r="B93" s="195">
        <v>2000</v>
      </c>
      <c r="C93" s="231" t="s">
        <v>7</v>
      </c>
      <c r="D93" s="205">
        <v>248.39325000000005</v>
      </c>
      <c r="E93" s="205">
        <v>289.79212500000006</v>
      </c>
      <c r="F93" s="205">
        <v>331.19100000000003</v>
      </c>
      <c r="G93" s="205">
        <v>372.58987500000012</v>
      </c>
      <c r="H93" s="205">
        <v>413.98875000000004</v>
      </c>
      <c r="I93" s="205">
        <v>455.38762500000007</v>
      </c>
      <c r="J93" s="205">
        <v>496.7865000000001</v>
      </c>
      <c r="K93" s="205">
        <v>538.18537500000002</v>
      </c>
      <c r="L93" s="207">
        <v>579.58425000000011</v>
      </c>
    </row>
    <row r="94" spans="2:12" s="187" customFormat="1" ht="15.45" x14ac:dyDescent="0.4">
      <c r="B94" s="195">
        <v>2500</v>
      </c>
      <c r="C94" s="231" t="s">
        <v>7</v>
      </c>
      <c r="D94" s="231" t="s">
        <v>7</v>
      </c>
      <c r="E94" s="205">
        <v>339.57000000000005</v>
      </c>
      <c r="F94" s="205">
        <v>388.08000000000004</v>
      </c>
      <c r="G94" s="205">
        <v>436.59000000000003</v>
      </c>
      <c r="H94" s="205">
        <v>485.1</v>
      </c>
      <c r="I94" s="205">
        <v>533.61</v>
      </c>
      <c r="J94" s="205">
        <v>582.12</v>
      </c>
      <c r="K94" s="205">
        <v>630.63</v>
      </c>
      <c r="L94" s="207">
        <v>679.1400000000001</v>
      </c>
    </row>
    <row r="95" spans="2:12" s="187" customFormat="1" ht="15.45" x14ac:dyDescent="0.4">
      <c r="B95" s="195">
        <v>3000</v>
      </c>
      <c r="C95" s="231" t="s">
        <v>7</v>
      </c>
      <c r="D95" s="231" t="s">
        <v>7</v>
      </c>
      <c r="E95" s="205">
        <v>389.3478750000001</v>
      </c>
      <c r="F95" s="205">
        <v>444.96900000000005</v>
      </c>
      <c r="G95" s="205">
        <v>500.59012500000006</v>
      </c>
      <c r="H95" s="205">
        <v>556.21125000000006</v>
      </c>
      <c r="I95" s="205">
        <v>611.83237500000018</v>
      </c>
      <c r="J95" s="205">
        <v>667.45350000000008</v>
      </c>
      <c r="K95" s="205">
        <v>723.07462500000008</v>
      </c>
      <c r="L95" s="207">
        <v>778.6957500000002</v>
      </c>
    </row>
    <row r="96" spans="2:12" s="187" customFormat="1" ht="15.45" x14ac:dyDescent="0.4">
      <c r="B96" s="195">
        <v>3500</v>
      </c>
      <c r="C96" s="231" t="s">
        <v>7</v>
      </c>
      <c r="D96" s="231" t="s">
        <v>7</v>
      </c>
      <c r="E96" s="231" t="s">
        <v>7</v>
      </c>
      <c r="F96" s="205">
        <v>501.85800000000006</v>
      </c>
      <c r="G96" s="205">
        <v>564.59025000000008</v>
      </c>
      <c r="H96" s="205">
        <v>627.3225000000001</v>
      </c>
      <c r="I96" s="205">
        <v>690.05475000000024</v>
      </c>
      <c r="J96" s="205">
        <v>752.78700000000003</v>
      </c>
      <c r="K96" s="205">
        <v>815.51925000000006</v>
      </c>
      <c r="L96" s="207">
        <v>878.25150000000008</v>
      </c>
    </row>
    <row r="97" spans="2:2" s="94" customFormat="1" ht="20.6" x14ac:dyDescent="0.55000000000000004">
      <c r="B97" s="188" t="s">
        <v>33</v>
      </c>
    </row>
    <row r="98" spans="2:2" s="94" customFormat="1" ht="20.6" x14ac:dyDescent="0.55000000000000004">
      <c r="B98" s="188"/>
    </row>
    <row r="99" spans="2:2" s="187" customFormat="1" x14ac:dyDescent="0.4"/>
    <row r="100" spans="2:2" s="187" customFormat="1" x14ac:dyDescent="0.4"/>
    <row r="101" spans="2:2" s="187" customFormat="1" x14ac:dyDescent="0.4"/>
    <row r="102" spans="2:2" s="187" customFormat="1" x14ac:dyDescent="0.4"/>
    <row r="103" spans="2:2" s="187" customFormat="1" x14ac:dyDescent="0.4"/>
    <row r="104" spans="2:2" s="187" customFormat="1" x14ac:dyDescent="0.4"/>
    <row r="105" spans="2:2" s="187" customFormat="1" x14ac:dyDescent="0.4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/>
  <dimension ref="A1:X87"/>
  <sheetViews>
    <sheetView showGridLines="0" zoomScale="68" zoomScaleNormal="68" workbookViewId="0">
      <pane ySplit="9" topLeftCell="A73" activePane="bottomLeft" state="frozen"/>
      <selection activeCell="J70" sqref="J70"/>
      <selection pane="bottomLeft" activeCell="J70" sqref="J70"/>
    </sheetView>
  </sheetViews>
  <sheetFormatPr defaultColWidth="9.23046875" defaultRowHeight="14.6" x14ac:dyDescent="0.4"/>
  <cols>
    <col min="1" max="1" width="9.23046875" style="58" customWidth="1"/>
    <col min="2" max="2" width="14.69140625" style="56" customWidth="1"/>
    <col min="3" max="15" width="9.53515625" style="57" customWidth="1"/>
    <col min="16" max="24" width="9.53515625" style="56" customWidth="1"/>
    <col min="25" max="16384" width="9.23046875" style="58"/>
  </cols>
  <sheetData>
    <row r="1" spans="2:24" s="55" customFormat="1" ht="45.45" x14ac:dyDescent="1.05">
      <c r="B1" s="5" t="s">
        <v>13</v>
      </c>
      <c r="C1" s="47"/>
      <c r="D1" s="47"/>
      <c r="E1" s="47"/>
      <c r="F1" s="47"/>
      <c r="G1" s="47"/>
      <c r="H1" s="48"/>
      <c r="I1" s="49"/>
      <c r="J1" s="50"/>
      <c r="K1" s="48"/>
      <c r="L1" s="51"/>
      <c r="M1" s="52"/>
      <c r="N1" s="53"/>
      <c r="O1" s="48"/>
      <c r="P1" s="54"/>
      <c r="Q1" s="54"/>
      <c r="R1" s="54"/>
      <c r="S1" s="54"/>
      <c r="T1" s="54"/>
      <c r="U1" s="54"/>
      <c r="V1" s="54"/>
      <c r="W1" s="54"/>
      <c r="X1" s="54"/>
    </row>
    <row r="3" spans="2:24" ht="15" thickBot="1" x14ac:dyDescent="0.45">
      <c r="B3" s="293" t="s">
        <v>59</v>
      </c>
    </row>
    <row r="4" spans="2:24" x14ac:dyDescent="0.4">
      <c r="B4" s="59"/>
      <c r="C4" s="60"/>
      <c r="D4" s="61"/>
      <c r="E4" s="61"/>
      <c r="F4" s="62"/>
      <c r="G4" s="42"/>
      <c r="H4" s="62"/>
      <c r="I4" s="62"/>
      <c r="J4" s="42"/>
      <c r="K4" s="42"/>
      <c r="L4" s="63"/>
      <c r="M4" s="42"/>
      <c r="N4" s="42"/>
      <c r="O4" s="42"/>
      <c r="P4" s="64"/>
      <c r="Q4" s="64"/>
      <c r="R4" s="64"/>
      <c r="S4" s="64"/>
      <c r="T4" s="64"/>
      <c r="U4" s="64"/>
      <c r="V4" s="64"/>
      <c r="W4" s="64"/>
      <c r="X4" s="65"/>
    </row>
    <row r="5" spans="2:24" ht="30" x14ac:dyDescent="0.4">
      <c r="B5" s="66"/>
      <c r="C5" s="44" t="s">
        <v>26</v>
      </c>
      <c r="D5" s="67"/>
      <c r="E5" s="67"/>
      <c r="F5" s="68"/>
      <c r="G5" s="43"/>
      <c r="H5" s="68"/>
      <c r="I5" s="68"/>
      <c r="J5" s="43"/>
      <c r="K5" s="43"/>
      <c r="L5" s="69"/>
      <c r="M5" s="43"/>
      <c r="O5" s="43"/>
      <c r="S5" s="44"/>
      <c r="V5" s="44" t="s">
        <v>6</v>
      </c>
      <c r="X5" s="70"/>
    </row>
    <row r="6" spans="2:24" ht="15" x14ac:dyDescent="0.4">
      <c r="B6" s="66"/>
      <c r="C6" s="41"/>
      <c r="D6" s="67"/>
      <c r="E6" s="67"/>
      <c r="F6" s="68"/>
      <c r="G6" s="43"/>
      <c r="H6" s="68"/>
      <c r="I6" s="68"/>
      <c r="J6" s="43"/>
      <c r="K6" s="43"/>
      <c r="L6" s="69"/>
      <c r="M6" s="43"/>
      <c r="N6" s="43"/>
      <c r="O6" s="43"/>
      <c r="X6" s="70"/>
    </row>
    <row r="7" spans="2:24" x14ac:dyDescent="0.4">
      <c r="B7" s="66"/>
      <c r="C7" s="71"/>
      <c r="D7" s="67"/>
      <c r="E7" s="67"/>
      <c r="F7" s="68"/>
      <c r="G7" s="68"/>
      <c r="H7" s="68"/>
      <c r="I7" s="68"/>
      <c r="J7" s="68"/>
      <c r="K7" s="68"/>
      <c r="L7" s="72"/>
      <c r="M7" s="43"/>
      <c r="N7" s="43"/>
      <c r="O7" s="43"/>
      <c r="X7" s="70"/>
    </row>
    <row r="8" spans="2:24" ht="15" thickBot="1" x14ac:dyDescent="0.45">
      <c r="B8" s="73"/>
      <c r="C8" s="74"/>
      <c r="D8" s="45"/>
      <c r="E8" s="45"/>
      <c r="F8" s="46"/>
      <c r="G8" s="46"/>
      <c r="H8" s="46"/>
      <c r="I8" s="46"/>
      <c r="J8" s="46"/>
      <c r="K8" s="46"/>
      <c r="L8" s="46"/>
      <c r="M8" s="75"/>
      <c r="N8" s="46"/>
      <c r="O8" s="46"/>
      <c r="P8" s="76"/>
      <c r="Q8" s="76"/>
      <c r="R8" s="76"/>
      <c r="S8" s="76"/>
      <c r="T8" s="76"/>
      <c r="U8" s="76"/>
      <c r="V8" s="76"/>
      <c r="W8" s="76"/>
      <c r="X8" s="77"/>
    </row>
    <row r="10" spans="2:24" s="144" customFormat="1" ht="45.45" x14ac:dyDescent="1.05">
      <c r="B10" s="145" t="s">
        <v>27</v>
      </c>
      <c r="C10" s="146"/>
      <c r="D10" s="146"/>
      <c r="E10" s="146"/>
      <c r="F10" s="146"/>
      <c r="G10" s="47"/>
      <c r="H10" s="196"/>
      <c r="I10" s="196"/>
      <c r="J10" s="196"/>
      <c r="K10" s="146"/>
      <c r="L10" s="197"/>
      <c r="M10" s="198"/>
      <c r="N10" s="199"/>
      <c r="O10" s="146"/>
      <c r="P10" s="150"/>
      <c r="Q10" s="150"/>
      <c r="R10" s="150"/>
      <c r="S10" s="150"/>
      <c r="T10" s="150"/>
      <c r="U10" s="150"/>
      <c r="V10" s="150"/>
      <c r="W10" s="150"/>
      <c r="X10" s="150"/>
    </row>
    <row r="11" spans="2:24" s="144" customFormat="1" ht="18" customHeight="1" thickBot="1" x14ac:dyDescent="1.1000000000000001">
      <c r="B11" s="145"/>
      <c r="C11" s="146"/>
      <c r="D11" s="146"/>
      <c r="E11" s="146"/>
      <c r="F11" s="146"/>
      <c r="G11" s="47"/>
      <c r="H11" s="147"/>
      <c r="I11" s="147"/>
      <c r="J11" s="147"/>
      <c r="K11" s="146"/>
      <c r="L11" s="197"/>
      <c r="M11" s="148"/>
      <c r="N11" s="149"/>
      <c r="O11" s="146"/>
      <c r="P11" s="150"/>
      <c r="Q11" s="150"/>
      <c r="R11" s="150"/>
      <c r="S11" s="150"/>
      <c r="T11" s="150"/>
      <c r="U11" s="150"/>
      <c r="V11" s="150"/>
      <c r="W11" s="150"/>
      <c r="X11" s="150"/>
    </row>
    <row r="12" spans="2:24" s="144" customFormat="1" ht="15.9" thickBot="1" x14ac:dyDescent="0.45">
      <c r="B12" s="78"/>
      <c r="C12" s="79">
        <v>900</v>
      </c>
      <c r="D12" s="80">
        <v>1050</v>
      </c>
      <c r="E12" s="79">
        <v>1200</v>
      </c>
      <c r="F12" s="80">
        <v>1350</v>
      </c>
      <c r="G12" s="79">
        <v>1500</v>
      </c>
      <c r="H12" s="80">
        <v>1650</v>
      </c>
      <c r="I12" s="79">
        <v>1800</v>
      </c>
      <c r="J12" s="80">
        <v>1950</v>
      </c>
      <c r="K12" s="79">
        <v>2100</v>
      </c>
      <c r="L12" s="80">
        <v>2250</v>
      </c>
      <c r="M12" s="79">
        <v>2400</v>
      </c>
      <c r="N12" s="80">
        <v>2550</v>
      </c>
      <c r="O12" s="79">
        <v>2700</v>
      </c>
      <c r="P12" s="80">
        <v>2850</v>
      </c>
      <c r="Q12" s="79">
        <v>3000</v>
      </c>
      <c r="R12" s="80">
        <v>3150</v>
      </c>
      <c r="S12" s="79">
        <v>3300</v>
      </c>
      <c r="T12" s="80">
        <v>3450</v>
      </c>
      <c r="U12" s="79">
        <v>3600</v>
      </c>
      <c r="V12" s="80">
        <v>3750</v>
      </c>
      <c r="W12" s="79">
        <v>3900</v>
      </c>
      <c r="X12" s="85">
        <v>4000</v>
      </c>
    </row>
    <row r="13" spans="2:24" s="144" customFormat="1" ht="15.75" customHeight="1" x14ac:dyDescent="0.4">
      <c r="B13" s="81">
        <v>900</v>
      </c>
      <c r="C13" s="200">
        <v>140.04924607037742</v>
      </c>
      <c r="D13" s="201">
        <v>152.83233951134213</v>
      </c>
      <c r="E13" s="201">
        <v>165.61543295230683</v>
      </c>
      <c r="F13" s="201">
        <v>178.39852639327157</v>
      </c>
      <c r="G13" s="201">
        <v>191.18161983423633</v>
      </c>
      <c r="H13" s="201">
        <v>203.96471327520101</v>
      </c>
      <c r="I13" s="201">
        <v>216.74780671616574</v>
      </c>
      <c r="J13" s="201">
        <v>229.5309001571305</v>
      </c>
      <c r="K13" s="201">
        <v>242.31399359809518</v>
      </c>
      <c r="L13" s="201">
        <v>255.09708703905991</v>
      </c>
      <c r="M13" s="201">
        <v>267.88018048002465</v>
      </c>
      <c r="N13" s="201">
        <v>280.66327392098935</v>
      </c>
      <c r="O13" s="202">
        <v>293.44636736195412</v>
      </c>
      <c r="P13" s="202">
        <v>306.22946080291888</v>
      </c>
      <c r="Q13" s="202">
        <v>319.01255424388359</v>
      </c>
      <c r="R13" s="202">
        <v>331.79564768484823</v>
      </c>
      <c r="S13" s="202">
        <v>344.578741125813</v>
      </c>
      <c r="T13" s="202">
        <v>357.3618345667777</v>
      </c>
      <c r="U13" s="201">
        <v>370.14492800774246</v>
      </c>
      <c r="V13" s="201">
        <v>382.92802144870717</v>
      </c>
      <c r="W13" s="202">
        <v>395.71111488967188</v>
      </c>
      <c r="X13" s="203">
        <v>408.49420833063652</v>
      </c>
    </row>
    <row r="14" spans="2:24" s="144" customFormat="1" ht="15.45" x14ac:dyDescent="0.4">
      <c r="B14" s="82">
        <v>1050</v>
      </c>
      <c r="C14" s="204">
        <v>143.02796317721476</v>
      </c>
      <c r="D14" s="205">
        <v>156.30750946931903</v>
      </c>
      <c r="E14" s="205">
        <v>169.58705576142333</v>
      </c>
      <c r="F14" s="205">
        <v>182.8666020535276</v>
      </c>
      <c r="G14" s="205">
        <v>196.14614834563187</v>
      </c>
      <c r="H14" s="205">
        <v>209.42569463773617</v>
      </c>
      <c r="I14" s="205">
        <v>222.70524092984044</v>
      </c>
      <c r="J14" s="205">
        <v>235.98478722194474</v>
      </c>
      <c r="K14" s="205">
        <v>249.26433351404901</v>
      </c>
      <c r="L14" s="205">
        <v>262.54387980615326</v>
      </c>
      <c r="M14" s="205">
        <v>275.82342609825758</v>
      </c>
      <c r="N14" s="205">
        <v>289.10297239036191</v>
      </c>
      <c r="O14" s="206">
        <v>302.38251868246613</v>
      </c>
      <c r="P14" s="206">
        <v>315.6620649745704</v>
      </c>
      <c r="Q14" s="206">
        <v>328.94161126667473</v>
      </c>
      <c r="R14" s="206">
        <v>342.221157558779</v>
      </c>
      <c r="S14" s="206">
        <v>355.50070385088333</v>
      </c>
      <c r="T14" s="206">
        <v>368.78025014298754</v>
      </c>
      <c r="U14" s="205">
        <v>382.05979643509181</v>
      </c>
      <c r="V14" s="205">
        <v>395.33934272719614</v>
      </c>
      <c r="W14" s="206">
        <v>408.61888901930035</v>
      </c>
      <c r="X14" s="207">
        <v>421.89843531140463</v>
      </c>
    </row>
    <row r="15" spans="2:24" s="144" customFormat="1" ht="15.45" x14ac:dyDescent="0.4">
      <c r="B15" s="82">
        <v>1200</v>
      </c>
      <c r="C15" s="204">
        <v>146.00668028405212</v>
      </c>
      <c r="D15" s="205">
        <v>159.78267942729596</v>
      </c>
      <c r="E15" s="205">
        <v>173.55867857053974</v>
      </c>
      <c r="F15" s="205">
        <v>187.33467771378363</v>
      </c>
      <c r="G15" s="205">
        <v>201.11067685702744</v>
      </c>
      <c r="H15" s="205">
        <v>214.88667600027125</v>
      </c>
      <c r="I15" s="205">
        <v>228.66267514351512</v>
      </c>
      <c r="J15" s="205">
        <v>242.43867428675898</v>
      </c>
      <c r="K15" s="205">
        <v>256.21467343000279</v>
      </c>
      <c r="L15" s="205">
        <v>269.99067257324663</v>
      </c>
      <c r="M15" s="205">
        <v>283.76667171649052</v>
      </c>
      <c r="N15" s="205">
        <v>297.54267085973436</v>
      </c>
      <c r="O15" s="206">
        <v>311.31867000297819</v>
      </c>
      <c r="P15" s="206">
        <v>325.09466914622197</v>
      </c>
      <c r="Q15" s="206">
        <v>338.87066828946593</v>
      </c>
      <c r="R15" s="206">
        <v>352.64666743270976</v>
      </c>
      <c r="S15" s="206">
        <v>366.42266657595349</v>
      </c>
      <c r="T15" s="206">
        <v>380.19866571919738</v>
      </c>
      <c r="U15" s="205">
        <v>393.97466486244122</v>
      </c>
      <c r="V15" s="205">
        <v>407.75066400568511</v>
      </c>
      <c r="W15" s="206">
        <v>421.52666314892883</v>
      </c>
      <c r="X15" s="207">
        <v>435.30266229217278</v>
      </c>
    </row>
    <row r="16" spans="2:24" s="144" customFormat="1" ht="15.45" x14ac:dyDescent="0.4">
      <c r="B16" s="82">
        <v>1350</v>
      </c>
      <c r="C16" s="204">
        <v>148.98539739088946</v>
      </c>
      <c r="D16" s="205">
        <v>163.25784938527283</v>
      </c>
      <c r="E16" s="205">
        <v>177.53030137965624</v>
      </c>
      <c r="F16" s="205">
        <v>191.80275337403964</v>
      </c>
      <c r="G16" s="205">
        <v>206.07520536842304</v>
      </c>
      <c r="H16" s="205">
        <v>220.34765736280647</v>
      </c>
      <c r="I16" s="205">
        <v>234.62010935718982</v>
      </c>
      <c r="J16" s="205">
        <v>248.89256135157325</v>
      </c>
      <c r="K16" s="205">
        <v>263.16501334595665</v>
      </c>
      <c r="L16" s="205">
        <v>277.43746534034005</v>
      </c>
      <c r="M16" s="205">
        <v>291.7099173347234</v>
      </c>
      <c r="N16" s="205">
        <v>305.98236932910686</v>
      </c>
      <c r="O16" s="206">
        <v>320.25482132349021</v>
      </c>
      <c r="P16" s="206">
        <v>334.52727331787355</v>
      </c>
      <c r="Q16" s="206">
        <v>348.79972531225695</v>
      </c>
      <c r="R16" s="206">
        <v>363.07217730664041</v>
      </c>
      <c r="S16" s="206">
        <v>377.34462930102382</v>
      </c>
      <c r="T16" s="206">
        <v>391.61708129540722</v>
      </c>
      <c r="U16" s="205">
        <v>405.88953328979062</v>
      </c>
      <c r="V16" s="205">
        <v>420.16198528417402</v>
      </c>
      <c r="W16" s="206">
        <v>434.43443727855731</v>
      </c>
      <c r="X16" s="207">
        <v>448.70688927294071</v>
      </c>
    </row>
    <row r="17" spans="2:24" s="144" customFormat="1" ht="15.45" x14ac:dyDescent="0.4">
      <c r="B17" s="82">
        <v>1500</v>
      </c>
      <c r="C17" s="204">
        <v>151.96411449772683</v>
      </c>
      <c r="D17" s="205">
        <v>166.73301934324977</v>
      </c>
      <c r="E17" s="205">
        <v>181.5019241887727</v>
      </c>
      <c r="F17" s="205">
        <v>196.27082903429567</v>
      </c>
      <c r="G17" s="205">
        <v>211.03973387981864</v>
      </c>
      <c r="H17" s="205">
        <v>225.80863872534155</v>
      </c>
      <c r="I17" s="205">
        <v>240.57754357086455</v>
      </c>
      <c r="J17" s="205">
        <v>255.34644841638749</v>
      </c>
      <c r="K17" s="205">
        <v>270.11535326191046</v>
      </c>
      <c r="L17" s="205">
        <v>284.88425810743342</v>
      </c>
      <c r="M17" s="205">
        <v>299.65316295295634</v>
      </c>
      <c r="N17" s="205">
        <v>314.42206779847936</v>
      </c>
      <c r="O17" s="206">
        <v>329.19097264400227</v>
      </c>
      <c r="P17" s="206">
        <v>343.95987748952524</v>
      </c>
      <c r="Q17" s="206">
        <v>358.72878233504815</v>
      </c>
      <c r="R17" s="206">
        <v>373.49768718057118</v>
      </c>
      <c r="S17" s="206">
        <v>388.26659202609409</v>
      </c>
      <c r="T17" s="206">
        <v>403.03549687161706</v>
      </c>
      <c r="U17" s="205">
        <v>417.80440171714002</v>
      </c>
      <c r="V17" s="205">
        <v>432.57330656266288</v>
      </c>
      <c r="W17" s="206">
        <v>447.34221140818579</v>
      </c>
      <c r="X17" s="207">
        <v>462.11111625370887</v>
      </c>
    </row>
    <row r="18" spans="2:24" s="144" customFormat="1" ht="15" customHeight="1" x14ac:dyDescent="0.4">
      <c r="B18" s="82">
        <v>1650</v>
      </c>
      <c r="C18" s="204">
        <v>154.94283160456416</v>
      </c>
      <c r="D18" s="205">
        <v>170.20818930122667</v>
      </c>
      <c r="E18" s="205">
        <v>185.47354699788923</v>
      </c>
      <c r="F18" s="205">
        <v>200.73890469455171</v>
      </c>
      <c r="G18" s="205">
        <v>216.00426239121424</v>
      </c>
      <c r="H18" s="205">
        <v>231.26962008787675</v>
      </c>
      <c r="I18" s="205">
        <v>246.53497778453922</v>
      </c>
      <c r="J18" s="205">
        <v>261.80033548120173</v>
      </c>
      <c r="K18" s="205">
        <v>277.06569317786426</v>
      </c>
      <c r="L18" s="205">
        <v>292.33105087452668</v>
      </c>
      <c r="M18" s="205">
        <v>307.59640857118922</v>
      </c>
      <c r="N18" s="205">
        <v>322.86176626785175</v>
      </c>
      <c r="O18" s="206">
        <v>338.12712396451428</v>
      </c>
      <c r="P18" s="206">
        <v>353.39248166117682</v>
      </c>
      <c r="Q18" s="206">
        <v>368.65783935783935</v>
      </c>
      <c r="R18" s="206">
        <v>383.92319705450171</v>
      </c>
      <c r="S18" s="206">
        <v>399.18855475116436</v>
      </c>
      <c r="T18" s="206">
        <v>414.45391244782689</v>
      </c>
      <c r="U18" s="205">
        <v>429.71927014448943</v>
      </c>
      <c r="V18" s="205">
        <v>444.98462784115196</v>
      </c>
      <c r="W18" s="206">
        <v>460.24998553781433</v>
      </c>
      <c r="X18" s="207">
        <v>475.51534323447697</v>
      </c>
    </row>
    <row r="19" spans="2:24" s="144" customFormat="1" ht="15" customHeight="1" x14ac:dyDescent="0.4">
      <c r="B19" s="82">
        <v>1800</v>
      </c>
      <c r="C19" s="204">
        <v>157.92154871140153</v>
      </c>
      <c r="D19" s="205">
        <v>173.68335925920357</v>
      </c>
      <c r="E19" s="205">
        <v>189.44516980700561</v>
      </c>
      <c r="F19" s="205">
        <v>205.20698035480771</v>
      </c>
      <c r="G19" s="205">
        <v>220.96879090260978</v>
      </c>
      <c r="H19" s="205">
        <v>236.73060145041185</v>
      </c>
      <c r="I19" s="205">
        <v>252.49241199821395</v>
      </c>
      <c r="J19" s="205">
        <v>268.25422254601602</v>
      </c>
      <c r="K19" s="205">
        <v>284.01603309381807</v>
      </c>
      <c r="L19" s="205">
        <v>299.77784364162011</v>
      </c>
      <c r="M19" s="205">
        <v>315.53965418942221</v>
      </c>
      <c r="N19" s="205">
        <v>331.30146473722431</v>
      </c>
      <c r="O19" s="206">
        <v>347.06327528502635</v>
      </c>
      <c r="P19" s="206">
        <v>362.82508583282839</v>
      </c>
      <c r="Q19" s="206">
        <v>378.58689638063055</v>
      </c>
      <c r="R19" s="206">
        <v>394.34870692843253</v>
      </c>
      <c r="S19" s="206">
        <v>410.11051747623458</v>
      </c>
      <c r="T19" s="206">
        <v>425.87232802403673</v>
      </c>
      <c r="U19" s="205">
        <v>441.63413857183872</v>
      </c>
      <c r="V19" s="205">
        <v>457.39594911964082</v>
      </c>
      <c r="W19" s="206">
        <v>473.15775966744286</v>
      </c>
      <c r="X19" s="207">
        <v>488.91957021524496</v>
      </c>
    </row>
    <row r="20" spans="2:24" s="144" customFormat="1" ht="15" customHeight="1" x14ac:dyDescent="0.4">
      <c r="B20" s="82">
        <v>1950</v>
      </c>
      <c r="C20" s="204">
        <v>160.90026581823881</v>
      </c>
      <c r="D20" s="205">
        <v>177.1585292171805</v>
      </c>
      <c r="E20" s="205">
        <v>193.41679261612211</v>
      </c>
      <c r="F20" s="205">
        <v>209.67505601506369</v>
      </c>
      <c r="G20" s="205">
        <v>225.93331941400535</v>
      </c>
      <c r="H20" s="205">
        <v>242.19158281294702</v>
      </c>
      <c r="I20" s="205">
        <v>258.4498462118886</v>
      </c>
      <c r="J20" s="205">
        <v>274.70810961083026</v>
      </c>
      <c r="K20" s="205">
        <v>290.96637300977187</v>
      </c>
      <c r="L20" s="205">
        <v>307.22463640871342</v>
      </c>
      <c r="M20" s="205">
        <v>323.48289980765514</v>
      </c>
      <c r="N20" s="205">
        <v>339.74116320659675</v>
      </c>
      <c r="O20" s="206">
        <v>355.99942660553836</v>
      </c>
      <c r="P20" s="206">
        <v>372.25769000448008</v>
      </c>
      <c r="Q20" s="206">
        <v>388.51595340342169</v>
      </c>
      <c r="R20" s="206">
        <v>404.77421680236324</v>
      </c>
      <c r="S20" s="206">
        <v>421.03248020130496</v>
      </c>
      <c r="T20" s="206">
        <v>437.29074360024663</v>
      </c>
      <c r="U20" s="205">
        <v>453.54900699918807</v>
      </c>
      <c r="V20" s="205">
        <v>469.80727039812973</v>
      </c>
      <c r="W20" s="206">
        <v>486.06553379707145</v>
      </c>
      <c r="X20" s="207">
        <v>502.323797196013</v>
      </c>
    </row>
    <row r="21" spans="2:24" s="144" customFormat="1" ht="15" customHeight="1" x14ac:dyDescent="0.4">
      <c r="B21" s="82">
        <v>2100</v>
      </c>
      <c r="C21" s="204">
        <v>163.8789829250762</v>
      </c>
      <c r="D21" s="205">
        <v>180.63369917515735</v>
      </c>
      <c r="E21" s="205">
        <v>197.38841542523855</v>
      </c>
      <c r="F21" s="205">
        <v>214.14313167531975</v>
      </c>
      <c r="G21" s="205">
        <v>230.89784792540092</v>
      </c>
      <c r="H21" s="205">
        <v>247.65256417548213</v>
      </c>
      <c r="I21" s="205">
        <v>264.40728042556327</v>
      </c>
      <c r="J21" s="205">
        <v>281.1619966756445</v>
      </c>
      <c r="K21" s="205">
        <v>297.91671292572568</v>
      </c>
      <c r="L21" s="205">
        <v>314.67142917580685</v>
      </c>
      <c r="M21" s="205">
        <v>331.42614542588802</v>
      </c>
      <c r="N21" s="205">
        <v>348.18086167596925</v>
      </c>
      <c r="O21" s="206">
        <v>364.93557792605043</v>
      </c>
      <c r="P21" s="206">
        <v>381.69029417613166</v>
      </c>
      <c r="Q21" s="206">
        <v>398.44501042621278</v>
      </c>
      <c r="R21" s="206">
        <v>415.19972667629401</v>
      </c>
      <c r="S21" s="206">
        <v>431.95444292637512</v>
      </c>
      <c r="T21" s="206">
        <v>448.70915917645635</v>
      </c>
      <c r="U21" s="205">
        <v>465.46387542653753</v>
      </c>
      <c r="V21" s="205">
        <v>482.21859167661876</v>
      </c>
      <c r="W21" s="206">
        <v>498.97330792669993</v>
      </c>
      <c r="X21" s="207">
        <v>515.7280241767811</v>
      </c>
    </row>
    <row r="22" spans="2:24" s="144" customFormat="1" ht="15" customHeight="1" x14ac:dyDescent="0.4">
      <c r="B22" s="82">
        <v>2250</v>
      </c>
      <c r="C22" s="204">
        <v>166.85770003191351</v>
      </c>
      <c r="D22" s="205">
        <v>184.10886913313428</v>
      </c>
      <c r="E22" s="205">
        <v>201.36003823435502</v>
      </c>
      <c r="F22" s="205">
        <v>218.61120733557578</v>
      </c>
      <c r="G22" s="205">
        <v>235.8623764367965</v>
      </c>
      <c r="H22" s="205">
        <v>253.11354553801729</v>
      </c>
      <c r="I22" s="205">
        <v>270.36471463923795</v>
      </c>
      <c r="J22" s="205">
        <v>287.61588374045868</v>
      </c>
      <c r="K22" s="205">
        <v>304.86705284167942</v>
      </c>
      <c r="L22" s="205">
        <v>322.11822194290028</v>
      </c>
      <c r="M22" s="205">
        <v>339.36939104412102</v>
      </c>
      <c r="N22" s="205">
        <v>356.62056014534176</v>
      </c>
      <c r="O22" s="206">
        <v>373.8717292465625</v>
      </c>
      <c r="P22" s="206">
        <v>391.12289834778323</v>
      </c>
      <c r="Q22" s="206">
        <v>408.37406744900392</v>
      </c>
      <c r="R22" s="206">
        <v>425.62523655022477</v>
      </c>
      <c r="S22" s="206">
        <v>442.8764056514454</v>
      </c>
      <c r="T22" s="206">
        <v>460.12757475266625</v>
      </c>
      <c r="U22" s="205">
        <v>477.37874385388699</v>
      </c>
      <c r="V22" s="205">
        <v>494.62991295510767</v>
      </c>
      <c r="W22" s="206">
        <v>511.88108205632841</v>
      </c>
      <c r="X22" s="207">
        <v>529.13225115754926</v>
      </c>
    </row>
    <row r="23" spans="2:24" s="144" customFormat="1" ht="15" customHeight="1" x14ac:dyDescent="0.4">
      <c r="B23" s="82">
        <v>2400</v>
      </c>
      <c r="C23" s="204">
        <v>169.8364171387509</v>
      </c>
      <c r="D23" s="205">
        <v>187.58403909111118</v>
      </c>
      <c r="E23" s="205">
        <v>205.33166104347146</v>
      </c>
      <c r="F23" s="205">
        <v>223.07928299583182</v>
      </c>
      <c r="G23" s="205">
        <v>240.82690494819209</v>
      </c>
      <c r="H23" s="205">
        <v>258.57452690055237</v>
      </c>
      <c r="I23" s="205">
        <v>276.32214885291268</v>
      </c>
      <c r="J23" s="205">
        <v>294.06977080527304</v>
      </c>
      <c r="K23" s="205">
        <v>311.8173927576334</v>
      </c>
      <c r="L23" s="205">
        <v>329.56501470999365</v>
      </c>
      <c r="M23" s="205">
        <v>347.3126366623539</v>
      </c>
      <c r="N23" s="205">
        <v>365.0602586147142</v>
      </c>
      <c r="O23" s="206">
        <v>382.80788056707456</v>
      </c>
      <c r="P23" s="206">
        <v>400.55550251943481</v>
      </c>
      <c r="Q23" s="206">
        <v>418.30312447179506</v>
      </c>
      <c r="R23" s="206">
        <v>436.05074642415536</v>
      </c>
      <c r="S23" s="206">
        <v>453.79836837651573</v>
      </c>
      <c r="T23" s="206">
        <v>471.54599032887592</v>
      </c>
      <c r="U23" s="205">
        <v>489.29361228123639</v>
      </c>
      <c r="V23" s="205">
        <v>507.04123423359664</v>
      </c>
      <c r="W23" s="206">
        <v>524.78885618595689</v>
      </c>
      <c r="X23" s="207">
        <v>542.53647813831719</v>
      </c>
    </row>
    <row r="24" spans="2:24" s="144" customFormat="1" ht="15" customHeight="1" x14ac:dyDescent="0.4">
      <c r="B24" s="82">
        <v>2550</v>
      </c>
      <c r="C24" s="204">
        <v>172.81513424558824</v>
      </c>
      <c r="D24" s="205">
        <v>191.05920904908811</v>
      </c>
      <c r="E24" s="205">
        <v>209.30328385258801</v>
      </c>
      <c r="F24" s="205">
        <v>227.54735865608777</v>
      </c>
      <c r="G24" s="205">
        <v>245.79143345958769</v>
      </c>
      <c r="H24" s="205">
        <v>264.03550826308754</v>
      </c>
      <c r="I24" s="205">
        <v>282.27958306658746</v>
      </c>
      <c r="J24" s="205">
        <v>300.52365787008728</v>
      </c>
      <c r="K24" s="205">
        <v>318.76773267358715</v>
      </c>
      <c r="L24" s="205">
        <v>337.01180747708702</v>
      </c>
      <c r="M24" s="205">
        <v>355.25588228058683</v>
      </c>
      <c r="N24" s="205">
        <v>373.49995708408676</v>
      </c>
      <c r="O24" s="206">
        <v>391.74403188758652</v>
      </c>
      <c r="P24" s="206">
        <v>409.98810669108639</v>
      </c>
      <c r="Q24" s="206">
        <v>428.23218149458626</v>
      </c>
      <c r="R24" s="206">
        <v>446.47625629808624</v>
      </c>
      <c r="S24" s="206">
        <v>464.720331101586</v>
      </c>
      <c r="T24" s="206">
        <v>482.96440590508581</v>
      </c>
      <c r="U24" s="205">
        <v>501.20848070858574</v>
      </c>
      <c r="V24" s="205">
        <v>519.4525555120855</v>
      </c>
      <c r="W24" s="206">
        <v>537.69663031558548</v>
      </c>
      <c r="X24" s="207">
        <v>555.94070511908535</v>
      </c>
    </row>
    <row r="25" spans="2:24" s="144" customFormat="1" ht="15" customHeight="1" x14ac:dyDescent="0.4">
      <c r="B25" s="82">
        <v>2700</v>
      </c>
      <c r="C25" s="204">
        <v>175.79385135242561</v>
      </c>
      <c r="D25" s="205">
        <v>194.53437900706498</v>
      </c>
      <c r="E25" s="205">
        <v>213.27490666170439</v>
      </c>
      <c r="F25" s="205">
        <v>232.01543431634386</v>
      </c>
      <c r="G25" s="205">
        <v>250.75596197098321</v>
      </c>
      <c r="H25" s="205">
        <v>269.49648962562264</v>
      </c>
      <c r="I25" s="205">
        <v>288.23701728026214</v>
      </c>
      <c r="J25" s="205">
        <v>306.97754493490152</v>
      </c>
      <c r="K25" s="205">
        <v>325.71807258954095</v>
      </c>
      <c r="L25" s="205">
        <v>344.45860024418039</v>
      </c>
      <c r="M25" s="205">
        <v>363.19912789881977</v>
      </c>
      <c r="N25" s="205">
        <v>381.93965555345915</v>
      </c>
      <c r="O25" s="206">
        <v>400.68018320809858</v>
      </c>
      <c r="P25" s="206">
        <v>419.42071086273808</v>
      </c>
      <c r="Q25" s="206">
        <v>438.1612385173774</v>
      </c>
      <c r="R25" s="206">
        <v>456.90176617201695</v>
      </c>
      <c r="S25" s="206">
        <v>475.64229382665633</v>
      </c>
      <c r="T25" s="206">
        <v>494.38282148129571</v>
      </c>
      <c r="U25" s="205">
        <v>513.1233491359352</v>
      </c>
      <c r="V25" s="205">
        <v>531.86387679057464</v>
      </c>
      <c r="W25" s="206">
        <v>550.60440444521385</v>
      </c>
      <c r="X25" s="207">
        <v>569.34493209985328</v>
      </c>
    </row>
    <row r="26" spans="2:24" s="144" customFormat="1" ht="15" customHeight="1" x14ac:dyDescent="0.4">
      <c r="B26" s="82">
        <v>2850</v>
      </c>
      <c r="C26" s="204">
        <v>178.77256845926294</v>
      </c>
      <c r="D26" s="205">
        <v>198.00954896504186</v>
      </c>
      <c r="E26" s="205">
        <v>217.24652947082086</v>
      </c>
      <c r="F26" s="205">
        <v>236.48350997659986</v>
      </c>
      <c r="G26" s="205">
        <v>255.72049048237881</v>
      </c>
      <c r="H26" s="205">
        <v>274.95747098815781</v>
      </c>
      <c r="I26" s="205">
        <v>294.19445149393687</v>
      </c>
      <c r="J26" s="205">
        <v>313.43143199971576</v>
      </c>
      <c r="K26" s="205">
        <v>332.66841250549476</v>
      </c>
      <c r="L26" s="205">
        <v>351.90539301127365</v>
      </c>
      <c r="M26" s="205">
        <v>371.1423735170527</v>
      </c>
      <c r="N26" s="205">
        <v>390.37935402283171</v>
      </c>
      <c r="O26" s="206">
        <v>409.61633452861065</v>
      </c>
      <c r="P26" s="206">
        <v>428.85331503438971</v>
      </c>
      <c r="Q26" s="206">
        <v>448.09029554016871</v>
      </c>
      <c r="R26" s="206">
        <v>467.32727604594749</v>
      </c>
      <c r="S26" s="206">
        <v>486.56425655172654</v>
      </c>
      <c r="T26" s="206">
        <v>505.80123705750543</v>
      </c>
      <c r="U26" s="205">
        <v>525.03821756328455</v>
      </c>
      <c r="V26" s="205">
        <v>544.27519806906344</v>
      </c>
      <c r="W26" s="206">
        <v>563.51217857484244</v>
      </c>
      <c r="X26" s="207">
        <v>582.74915908062144</v>
      </c>
    </row>
    <row r="27" spans="2:24" s="144" customFormat="1" ht="15" customHeight="1" thickBot="1" x14ac:dyDescent="0.45">
      <c r="B27" s="83">
        <v>3000</v>
      </c>
      <c r="C27" s="208">
        <v>181.75128556610031</v>
      </c>
      <c r="D27" s="209">
        <v>201.48471892301885</v>
      </c>
      <c r="E27" s="209">
        <v>221.21815227993733</v>
      </c>
      <c r="F27" s="209">
        <v>240.95158563685581</v>
      </c>
      <c r="G27" s="209">
        <v>260.68501899377441</v>
      </c>
      <c r="H27" s="209">
        <v>280.41845235069297</v>
      </c>
      <c r="I27" s="209">
        <v>300.15188570761148</v>
      </c>
      <c r="J27" s="209">
        <v>319.88531906452999</v>
      </c>
      <c r="K27" s="209">
        <v>339.61875242144851</v>
      </c>
      <c r="L27" s="209">
        <v>359.35218577836707</v>
      </c>
      <c r="M27" s="209">
        <v>379.0856191352857</v>
      </c>
      <c r="N27" s="209">
        <v>398.81905249220415</v>
      </c>
      <c r="O27" s="210">
        <v>418.55248584912266</v>
      </c>
      <c r="P27" s="210">
        <v>438.28591920604129</v>
      </c>
      <c r="Q27" s="210">
        <v>458.01935256295974</v>
      </c>
      <c r="R27" s="210">
        <v>477.75278591987819</v>
      </c>
      <c r="S27" s="210">
        <v>497.48621927679682</v>
      </c>
      <c r="T27" s="210">
        <v>517.21965263371533</v>
      </c>
      <c r="U27" s="209">
        <v>536.95308599063389</v>
      </c>
      <c r="V27" s="209">
        <v>556.68651934755235</v>
      </c>
      <c r="W27" s="210">
        <v>576.41995270447103</v>
      </c>
      <c r="X27" s="211">
        <v>596.1533860613896</v>
      </c>
    </row>
    <row r="28" spans="2:24" s="144" customFormat="1" x14ac:dyDescent="0.4">
      <c r="B28" s="150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0"/>
      <c r="Q28" s="150"/>
      <c r="R28" s="150"/>
      <c r="S28" s="150"/>
      <c r="T28" s="150"/>
      <c r="U28" s="150"/>
      <c r="V28" s="150"/>
      <c r="W28" s="150"/>
      <c r="X28" s="150"/>
    </row>
    <row r="29" spans="2:24" s="144" customFormat="1" ht="45.9" thickBot="1" x14ac:dyDescent="1.1000000000000001">
      <c r="B29" s="145" t="s">
        <v>28</v>
      </c>
      <c r="C29" s="146"/>
      <c r="D29" s="146"/>
      <c r="E29" s="146"/>
      <c r="F29" s="146"/>
      <c r="G29" s="47"/>
      <c r="H29" s="147"/>
      <c r="I29" s="147"/>
      <c r="J29" s="147"/>
      <c r="K29" s="146"/>
      <c r="L29" s="146"/>
      <c r="M29" s="148"/>
      <c r="N29" s="149"/>
      <c r="O29" s="146"/>
      <c r="P29" s="150"/>
      <c r="Q29" s="150"/>
      <c r="R29" s="150"/>
      <c r="S29" s="150"/>
      <c r="T29" s="150"/>
      <c r="U29" s="150"/>
      <c r="V29" s="150"/>
      <c r="W29" s="150"/>
      <c r="X29" s="150"/>
    </row>
    <row r="30" spans="2:24" s="144" customFormat="1" ht="15.9" thickBot="1" x14ac:dyDescent="0.45">
      <c r="B30" s="78"/>
      <c r="C30" s="79">
        <v>900</v>
      </c>
      <c r="D30" s="80">
        <v>1050</v>
      </c>
      <c r="E30" s="79">
        <v>1200</v>
      </c>
      <c r="F30" s="80">
        <v>1350</v>
      </c>
      <c r="G30" s="79">
        <v>1500</v>
      </c>
      <c r="H30" s="80">
        <v>1650</v>
      </c>
      <c r="I30" s="79">
        <v>1800</v>
      </c>
      <c r="J30" s="80">
        <v>1950</v>
      </c>
      <c r="K30" s="79">
        <v>2100</v>
      </c>
      <c r="L30" s="80">
        <v>2250</v>
      </c>
      <c r="M30" s="79">
        <v>2400</v>
      </c>
      <c r="N30" s="80">
        <v>2550</v>
      </c>
      <c r="O30" s="79">
        <v>2700</v>
      </c>
      <c r="P30" s="80">
        <v>2850</v>
      </c>
      <c r="Q30" s="79">
        <v>3000</v>
      </c>
      <c r="R30" s="80">
        <v>3150</v>
      </c>
      <c r="S30" s="79">
        <v>3300</v>
      </c>
      <c r="T30" s="80">
        <v>3450</v>
      </c>
      <c r="U30" s="79">
        <v>3600</v>
      </c>
      <c r="V30" s="80">
        <v>3750</v>
      </c>
      <c r="W30" s="79">
        <v>3900</v>
      </c>
      <c r="X30" s="85">
        <v>4000</v>
      </c>
    </row>
    <row r="31" spans="2:24" s="144" customFormat="1" ht="15.45" x14ac:dyDescent="0.4">
      <c r="B31" s="81">
        <v>900</v>
      </c>
      <c r="C31" s="200">
        <v>136.61626563511803</v>
      </c>
      <c r="D31" s="201">
        <v>149.39935907608273</v>
      </c>
      <c r="E31" s="201">
        <v>162.18245251704747</v>
      </c>
      <c r="F31" s="201">
        <v>174.9655459580122</v>
      </c>
      <c r="G31" s="201">
        <v>187.74863939897696</v>
      </c>
      <c r="H31" s="201">
        <v>200.53173283994167</v>
      </c>
      <c r="I31" s="201">
        <v>213.31482628090643</v>
      </c>
      <c r="J31" s="201">
        <v>226.09791972187111</v>
      </c>
      <c r="K31" s="201">
        <v>238.88101316283576</v>
      </c>
      <c r="L31" s="201">
        <v>251.66410660380052</v>
      </c>
      <c r="M31" s="201">
        <v>264.44720004476522</v>
      </c>
      <c r="N31" s="201">
        <v>277.23029348572999</v>
      </c>
      <c r="O31" s="202">
        <v>290.01338692669469</v>
      </c>
      <c r="P31" s="202">
        <v>302.79648036765946</v>
      </c>
      <c r="Q31" s="202">
        <v>315.57957380862416</v>
      </c>
      <c r="R31" s="202">
        <v>328.36266724958887</v>
      </c>
      <c r="S31" s="202">
        <v>341.14576069055363</v>
      </c>
      <c r="T31" s="202">
        <v>353.92885413151834</v>
      </c>
      <c r="U31" s="201">
        <v>366.71194757248304</v>
      </c>
      <c r="V31" s="201">
        <v>379.49504101344775</v>
      </c>
      <c r="W31" s="202">
        <v>392.27813445441245</v>
      </c>
      <c r="X31" s="203">
        <v>405.06122789537727</v>
      </c>
    </row>
    <row r="32" spans="2:24" s="144" customFormat="1" ht="15.45" x14ac:dyDescent="0.4">
      <c r="B32" s="82">
        <v>1050</v>
      </c>
      <c r="C32" s="204">
        <v>139.59498274195539</v>
      </c>
      <c r="D32" s="205">
        <v>152.87452903405969</v>
      </c>
      <c r="E32" s="205">
        <v>166.15407532616393</v>
      </c>
      <c r="F32" s="205">
        <v>179.43362161826823</v>
      </c>
      <c r="G32" s="205">
        <v>192.7131679103725</v>
      </c>
      <c r="H32" s="205">
        <v>205.99271420247678</v>
      </c>
      <c r="I32" s="205">
        <v>219.27226049458108</v>
      </c>
      <c r="J32" s="205">
        <v>232.55180678668535</v>
      </c>
      <c r="K32" s="205">
        <v>245.83135307878968</v>
      </c>
      <c r="L32" s="205">
        <v>259.11089937089389</v>
      </c>
      <c r="M32" s="205">
        <v>272.39044566299816</v>
      </c>
      <c r="N32" s="205">
        <v>285.66999195510255</v>
      </c>
      <c r="O32" s="206">
        <v>298.9495382472067</v>
      </c>
      <c r="P32" s="206">
        <v>312.22908453931103</v>
      </c>
      <c r="Q32" s="206">
        <v>325.5086308314153</v>
      </c>
      <c r="R32" s="206">
        <v>338.78817712351963</v>
      </c>
      <c r="S32" s="206">
        <v>352.06772341562396</v>
      </c>
      <c r="T32" s="206">
        <v>365.34726970772817</v>
      </c>
      <c r="U32" s="205">
        <v>378.62681599983244</v>
      </c>
      <c r="V32" s="205">
        <v>391.90636229193672</v>
      </c>
      <c r="W32" s="206">
        <v>405.18590858404104</v>
      </c>
      <c r="X32" s="207">
        <v>418.46545487614532</v>
      </c>
    </row>
    <row r="33" spans="2:24" s="144" customFormat="1" ht="15.45" x14ac:dyDescent="0.4">
      <c r="B33" s="82">
        <v>1200</v>
      </c>
      <c r="C33" s="204">
        <v>142.57369984879273</v>
      </c>
      <c r="D33" s="205">
        <v>156.34969899203659</v>
      </c>
      <c r="E33" s="205">
        <v>170.12569813528037</v>
      </c>
      <c r="F33" s="205">
        <v>183.90169727852427</v>
      </c>
      <c r="G33" s="205">
        <v>197.6776964217681</v>
      </c>
      <c r="H33" s="205">
        <v>211.45369556501194</v>
      </c>
      <c r="I33" s="205">
        <v>225.22969470825575</v>
      </c>
      <c r="J33" s="205">
        <v>239.00569385149956</v>
      </c>
      <c r="K33" s="205">
        <v>252.78169299474342</v>
      </c>
      <c r="L33" s="205">
        <v>266.55769213798732</v>
      </c>
      <c r="M33" s="205">
        <v>280.3336912812311</v>
      </c>
      <c r="N33" s="205">
        <v>294.10969042447499</v>
      </c>
      <c r="O33" s="206">
        <v>307.88568956771877</v>
      </c>
      <c r="P33" s="206">
        <v>321.66168871096272</v>
      </c>
      <c r="Q33" s="206">
        <v>335.43768785420644</v>
      </c>
      <c r="R33" s="206">
        <v>349.21368699745028</v>
      </c>
      <c r="S33" s="206">
        <v>362.98968614069418</v>
      </c>
      <c r="T33" s="206">
        <v>376.76568528393796</v>
      </c>
      <c r="U33" s="205">
        <v>390.54168442718185</v>
      </c>
      <c r="V33" s="205">
        <v>404.31768357042557</v>
      </c>
      <c r="W33" s="206">
        <v>418.09368271366947</v>
      </c>
      <c r="X33" s="207">
        <v>431.86968185691336</v>
      </c>
    </row>
    <row r="34" spans="2:24" s="144" customFormat="1" ht="15.45" x14ac:dyDescent="0.4">
      <c r="B34" s="82">
        <v>1350</v>
      </c>
      <c r="C34" s="204">
        <v>145.55241695563006</v>
      </c>
      <c r="D34" s="205">
        <v>159.82486895001344</v>
      </c>
      <c r="E34" s="205">
        <v>174.09732094439684</v>
      </c>
      <c r="F34" s="205">
        <v>188.36977293878027</v>
      </c>
      <c r="G34" s="205">
        <v>202.64222493316365</v>
      </c>
      <c r="H34" s="205">
        <v>216.91467692754708</v>
      </c>
      <c r="I34" s="205">
        <v>231.18712892193042</v>
      </c>
      <c r="J34" s="205">
        <v>245.45958091631383</v>
      </c>
      <c r="K34" s="205">
        <v>259.73203291069723</v>
      </c>
      <c r="L34" s="205">
        <v>274.00448490508063</v>
      </c>
      <c r="M34" s="205">
        <v>288.27693689946403</v>
      </c>
      <c r="N34" s="205">
        <v>302.54938889384744</v>
      </c>
      <c r="O34" s="206">
        <v>316.82184088823089</v>
      </c>
      <c r="P34" s="206">
        <v>331.09429288261418</v>
      </c>
      <c r="Q34" s="206">
        <v>345.36674487699759</v>
      </c>
      <c r="R34" s="206">
        <v>359.63919687138105</v>
      </c>
      <c r="S34" s="206">
        <v>373.9116488657645</v>
      </c>
      <c r="T34" s="206">
        <v>388.18410086014779</v>
      </c>
      <c r="U34" s="205">
        <v>402.45655285453125</v>
      </c>
      <c r="V34" s="205">
        <v>416.7290048489146</v>
      </c>
      <c r="W34" s="206">
        <v>431.00145684329806</v>
      </c>
      <c r="X34" s="207">
        <v>445.2739088376814</v>
      </c>
    </row>
    <row r="35" spans="2:24" s="144" customFormat="1" ht="15.45" x14ac:dyDescent="0.4">
      <c r="B35" s="82">
        <v>1500</v>
      </c>
      <c r="C35" s="204">
        <v>148.53113406246743</v>
      </c>
      <c r="D35" s="205">
        <v>163.30003890799037</v>
      </c>
      <c r="E35" s="205">
        <v>178.06894375351334</v>
      </c>
      <c r="F35" s="205">
        <v>192.83784859903631</v>
      </c>
      <c r="G35" s="205">
        <v>207.60675344455922</v>
      </c>
      <c r="H35" s="205">
        <v>222.37565829008221</v>
      </c>
      <c r="I35" s="205">
        <v>237.14456313560515</v>
      </c>
      <c r="J35" s="205">
        <v>251.91346798112812</v>
      </c>
      <c r="K35" s="205">
        <v>266.68237282665109</v>
      </c>
      <c r="L35" s="205">
        <v>281.451277672174</v>
      </c>
      <c r="M35" s="205">
        <v>296.22018251769703</v>
      </c>
      <c r="N35" s="205">
        <v>310.98908736321994</v>
      </c>
      <c r="O35" s="206">
        <v>325.75799220874291</v>
      </c>
      <c r="P35" s="206">
        <v>340.52689705426582</v>
      </c>
      <c r="Q35" s="206">
        <v>355.29580189978884</v>
      </c>
      <c r="R35" s="206">
        <v>370.06470674531175</v>
      </c>
      <c r="S35" s="206">
        <v>384.83361159083478</v>
      </c>
      <c r="T35" s="206">
        <v>399.60251643635763</v>
      </c>
      <c r="U35" s="205">
        <v>414.37142128188066</v>
      </c>
      <c r="V35" s="205">
        <v>429.14032612740351</v>
      </c>
      <c r="W35" s="206">
        <v>443.90923097292654</v>
      </c>
      <c r="X35" s="207">
        <v>458.6781358184495</v>
      </c>
    </row>
    <row r="36" spans="2:24" s="144" customFormat="1" ht="15" customHeight="1" x14ac:dyDescent="0.4">
      <c r="B36" s="82">
        <v>1650</v>
      </c>
      <c r="C36" s="204">
        <v>151.50985116930474</v>
      </c>
      <c r="D36" s="205">
        <v>166.77520886596724</v>
      </c>
      <c r="E36" s="205">
        <v>182.04056656262978</v>
      </c>
      <c r="F36" s="205">
        <v>197.30592425929237</v>
      </c>
      <c r="G36" s="205">
        <v>212.5712819559549</v>
      </c>
      <c r="H36" s="205">
        <v>227.83663965261738</v>
      </c>
      <c r="I36" s="205">
        <v>243.10199734927988</v>
      </c>
      <c r="J36" s="205">
        <v>258.36735504594242</v>
      </c>
      <c r="K36" s="205">
        <v>273.63271274260484</v>
      </c>
      <c r="L36" s="205">
        <v>288.89807043926737</v>
      </c>
      <c r="M36" s="205">
        <v>304.16342813592985</v>
      </c>
      <c r="N36" s="205">
        <v>319.42878583259238</v>
      </c>
      <c r="O36" s="206">
        <v>334.69414352925492</v>
      </c>
      <c r="P36" s="206">
        <v>349.95950122591739</v>
      </c>
      <c r="Q36" s="206">
        <v>365.22485892257998</v>
      </c>
      <c r="R36" s="206">
        <v>380.4902166192424</v>
      </c>
      <c r="S36" s="206">
        <v>395.75557431590494</v>
      </c>
      <c r="T36" s="206">
        <v>411.02093201256758</v>
      </c>
      <c r="U36" s="205">
        <v>426.28628970923006</v>
      </c>
      <c r="V36" s="205">
        <v>441.55164740589254</v>
      </c>
      <c r="W36" s="206">
        <v>456.81700510255513</v>
      </c>
      <c r="X36" s="207">
        <v>472.08236279921761</v>
      </c>
    </row>
    <row r="37" spans="2:24" s="144" customFormat="1" ht="15" customHeight="1" x14ac:dyDescent="0.4">
      <c r="B37" s="82">
        <v>1800</v>
      </c>
      <c r="C37" s="204">
        <v>154.4885682761421</v>
      </c>
      <c r="D37" s="205">
        <v>170.2503788239442</v>
      </c>
      <c r="E37" s="205">
        <v>186.01218937174625</v>
      </c>
      <c r="F37" s="205">
        <v>201.77399991954834</v>
      </c>
      <c r="G37" s="205">
        <v>217.53581046735047</v>
      </c>
      <c r="H37" s="205">
        <v>233.29762101515249</v>
      </c>
      <c r="I37" s="205">
        <v>249.05943156295461</v>
      </c>
      <c r="J37" s="205">
        <v>264.8212421107566</v>
      </c>
      <c r="K37" s="205">
        <v>280.5830526585587</v>
      </c>
      <c r="L37" s="205">
        <v>296.34486320636074</v>
      </c>
      <c r="M37" s="205">
        <v>312.1066737541629</v>
      </c>
      <c r="N37" s="205">
        <v>327.868484301965</v>
      </c>
      <c r="O37" s="206">
        <v>343.63029484976693</v>
      </c>
      <c r="P37" s="206">
        <v>359.39210539756903</v>
      </c>
      <c r="Q37" s="206">
        <v>375.15391594537112</v>
      </c>
      <c r="R37" s="206">
        <v>390.91572649317311</v>
      </c>
      <c r="S37" s="206">
        <v>406.67753704097538</v>
      </c>
      <c r="T37" s="206">
        <v>422.43934758877731</v>
      </c>
      <c r="U37" s="205">
        <v>438.20115813657941</v>
      </c>
      <c r="V37" s="205">
        <v>453.96296868438145</v>
      </c>
      <c r="W37" s="206">
        <v>469.72477923218355</v>
      </c>
      <c r="X37" s="207">
        <v>485.48658977998559</v>
      </c>
    </row>
    <row r="38" spans="2:24" s="144" customFormat="1" ht="15" customHeight="1" x14ac:dyDescent="0.4">
      <c r="B38" s="82">
        <v>1950</v>
      </c>
      <c r="C38" s="204">
        <v>157.46728538297944</v>
      </c>
      <c r="D38" s="205">
        <v>173.72554878192111</v>
      </c>
      <c r="E38" s="205">
        <v>189.98381218086274</v>
      </c>
      <c r="F38" s="205">
        <v>206.24207557980438</v>
      </c>
      <c r="G38" s="205">
        <v>222.50033897874596</v>
      </c>
      <c r="H38" s="205">
        <v>238.75860237768765</v>
      </c>
      <c r="I38" s="205">
        <v>255.0168657766292</v>
      </c>
      <c r="J38" s="205">
        <v>271.2751291755709</v>
      </c>
      <c r="K38" s="205">
        <v>287.53339257451245</v>
      </c>
      <c r="L38" s="205">
        <v>303.79165597345411</v>
      </c>
      <c r="M38" s="205">
        <v>320.04991937239578</v>
      </c>
      <c r="N38" s="205">
        <v>336.30818277133739</v>
      </c>
      <c r="O38" s="206">
        <v>352.56644617027899</v>
      </c>
      <c r="P38" s="206">
        <v>368.82470956922054</v>
      </c>
      <c r="Q38" s="206">
        <v>385.08297296816227</v>
      </c>
      <c r="R38" s="206">
        <v>401.34123636710387</v>
      </c>
      <c r="S38" s="206">
        <v>417.59949976604548</v>
      </c>
      <c r="T38" s="206">
        <v>433.85776316498715</v>
      </c>
      <c r="U38" s="205">
        <v>450.11602656392881</v>
      </c>
      <c r="V38" s="205">
        <v>466.37428996287031</v>
      </c>
      <c r="W38" s="206">
        <v>482.63255336181214</v>
      </c>
      <c r="X38" s="207">
        <v>498.89081676075364</v>
      </c>
    </row>
    <row r="39" spans="2:24" s="144" customFormat="1" ht="15" customHeight="1" x14ac:dyDescent="0.4">
      <c r="B39" s="82">
        <v>2100</v>
      </c>
      <c r="C39" s="204">
        <v>160.44600248981681</v>
      </c>
      <c r="D39" s="205">
        <v>177.20071873989798</v>
      </c>
      <c r="E39" s="205">
        <v>193.95543498997918</v>
      </c>
      <c r="F39" s="205">
        <v>210.71015124006036</v>
      </c>
      <c r="G39" s="205">
        <v>227.46486749014153</v>
      </c>
      <c r="H39" s="205">
        <v>244.21958374022279</v>
      </c>
      <c r="I39" s="205">
        <v>260.9742999903039</v>
      </c>
      <c r="J39" s="205">
        <v>277.72901624038508</v>
      </c>
      <c r="K39" s="205">
        <v>294.48373249046631</v>
      </c>
      <c r="L39" s="205">
        <v>311.23844874054754</v>
      </c>
      <c r="M39" s="205">
        <v>327.99316499062866</v>
      </c>
      <c r="N39" s="205">
        <v>344.74788124070989</v>
      </c>
      <c r="O39" s="206">
        <v>361.50259749079106</v>
      </c>
      <c r="P39" s="206">
        <v>378.25731374087218</v>
      </c>
      <c r="Q39" s="206">
        <v>395.01202999095341</v>
      </c>
      <c r="R39" s="206">
        <v>411.76674624103464</v>
      </c>
      <c r="S39" s="206">
        <v>428.52146249111581</v>
      </c>
      <c r="T39" s="206">
        <v>445.27617874119704</v>
      </c>
      <c r="U39" s="205">
        <v>462.03089499127822</v>
      </c>
      <c r="V39" s="205">
        <v>478.78561124135933</v>
      </c>
      <c r="W39" s="206">
        <v>495.54032749144051</v>
      </c>
      <c r="X39" s="207">
        <v>512.29504374152179</v>
      </c>
    </row>
    <row r="40" spans="2:24" s="144" customFormat="1" ht="15" customHeight="1" x14ac:dyDescent="0.4">
      <c r="B40" s="82">
        <v>2250</v>
      </c>
      <c r="C40" s="204">
        <v>163.42471959665417</v>
      </c>
      <c r="D40" s="205">
        <v>180.67588869787491</v>
      </c>
      <c r="E40" s="205">
        <v>197.92705779909568</v>
      </c>
      <c r="F40" s="205">
        <v>215.17822690031645</v>
      </c>
      <c r="G40" s="205">
        <v>232.42939600153716</v>
      </c>
      <c r="H40" s="205">
        <v>249.6805651027579</v>
      </c>
      <c r="I40" s="205">
        <v>266.93173420397858</v>
      </c>
      <c r="J40" s="205">
        <v>284.18290330519943</v>
      </c>
      <c r="K40" s="205">
        <v>301.43407240642006</v>
      </c>
      <c r="L40" s="205">
        <v>318.68524150764085</v>
      </c>
      <c r="M40" s="205">
        <v>335.93641060886171</v>
      </c>
      <c r="N40" s="205">
        <v>353.18757971008233</v>
      </c>
      <c r="O40" s="206">
        <v>370.43874881130313</v>
      </c>
      <c r="P40" s="206">
        <v>387.68991791252375</v>
      </c>
      <c r="Q40" s="206">
        <v>404.94108701374455</v>
      </c>
      <c r="R40" s="206">
        <v>422.1922561149654</v>
      </c>
      <c r="S40" s="206">
        <v>439.44342521618609</v>
      </c>
      <c r="T40" s="206">
        <v>456.69459431740682</v>
      </c>
      <c r="U40" s="205">
        <v>473.94576341862762</v>
      </c>
      <c r="V40" s="205">
        <v>491.19693251984825</v>
      </c>
      <c r="W40" s="206">
        <v>508.4481016210691</v>
      </c>
      <c r="X40" s="207">
        <v>525.69927072228973</v>
      </c>
    </row>
    <row r="41" spans="2:24" s="144" customFormat="1" ht="15" customHeight="1" x14ac:dyDescent="0.4">
      <c r="B41" s="82">
        <v>2400</v>
      </c>
      <c r="C41" s="204">
        <v>166.40343670349151</v>
      </c>
      <c r="D41" s="205">
        <v>184.15105865585181</v>
      </c>
      <c r="E41" s="205">
        <v>201.89868060821212</v>
      </c>
      <c r="F41" s="205">
        <v>219.64630256057242</v>
      </c>
      <c r="G41" s="205">
        <v>237.39392451293273</v>
      </c>
      <c r="H41" s="205">
        <v>255.141546465293</v>
      </c>
      <c r="I41" s="205">
        <v>272.88916841765337</v>
      </c>
      <c r="J41" s="205">
        <v>290.63679037001356</v>
      </c>
      <c r="K41" s="205">
        <v>308.38441232237392</v>
      </c>
      <c r="L41" s="205">
        <v>326.13203427473428</v>
      </c>
      <c r="M41" s="205">
        <v>343.87965622709459</v>
      </c>
      <c r="N41" s="205">
        <v>361.62727817945478</v>
      </c>
      <c r="O41" s="206">
        <v>379.37490013181514</v>
      </c>
      <c r="P41" s="206">
        <v>397.12252208417539</v>
      </c>
      <c r="Q41" s="206">
        <v>414.87014403653569</v>
      </c>
      <c r="R41" s="206">
        <v>432.61776598889605</v>
      </c>
      <c r="S41" s="206">
        <v>450.36538794125642</v>
      </c>
      <c r="T41" s="206">
        <v>468.11300989361666</v>
      </c>
      <c r="U41" s="205">
        <v>485.86063184597703</v>
      </c>
      <c r="V41" s="205">
        <v>503.60825379833733</v>
      </c>
      <c r="W41" s="206">
        <v>521.35587575069758</v>
      </c>
      <c r="X41" s="207">
        <v>539.10349770305788</v>
      </c>
    </row>
    <row r="42" spans="2:24" s="144" customFormat="1" ht="15" customHeight="1" x14ac:dyDescent="0.4">
      <c r="B42" s="82">
        <v>2550</v>
      </c>
      <c r="C42" s="204">
        <v>169.38215381032887</v>
      </c>
      <c r="D42" s="205">
        <v>187.62622861382872</v>
      </c>
      <c r="E42" s="205">
        <v>205.87030341732861</v>
      </c>
      <c r="F42" s="205">
        <v>224.11437822082843</v>
      </c>
      <c r="G42" s="205">
        <v>242.35845302432836</v>
      </c>
      <c r="H42" s="205">
        <v>260.60252782782817</v>
      </c>
      <c r="I42" s="205">
        <v>278.84660263132804</v>
      </c>
      <c r="J42" s="205">
        <v>297.09067743482791</v>
      </c>
      <c r="K42" s="205">
        <v>315.33475223832778</v>
      </c>
      <c r="L42" s="205">
        <v>333.57882704182759</v>
      </c>
      <c r="M42" s="205">
        <v>351.82290184532746</v>
      </c>
      <c r="N42" s="205">
        <v>370.06697664882739</v>
      </c>
      <c r="O42" s="206">
        <v>388.31105145232726</v>
      </c>
      <c r="P42" s="206">
        <v>406.55512625582702</v>
      </c>
      <c r="Q42" s="206">
        <v>424.799201059327</v>
      </c>
      <c r="R42" s="206">
        <v>443.04327586282676</v>
      </c>
      <c r="S42" s="206">
        <v>461.28735066632657</v>
      </c>
      <c r="T42" s="206">
        <v>479.53142546982639</v>
      </c>
      <c r="U42" s="205">
        <v>497.77550027332637</v>
      </c>
      <c r="V42" s="205">
        <v>516.01957507682619</v>
      </c>
      <c r="W42" s="206">
        <v>534.26364988032606</v>
      </c>
      <c r="X42" s="207">
        <v>552.50772468382593</v>
      </c>
    </row>
    <row r="43" spans="2:24" s="144" customFormat="1" ht="15" customHeight="1" x14ac:dyDescent="0.4">
      <c r="B43" s="82">
        <v>2700</v>
      </c>
      <c r="C43" s="204">
        <v>172.36087091716621</v>
      </c>
      <c r="D43" s="205">
        <v>191.10139857180562</v>
      </c>
      <c r="E43" s="205">
        <v>209.84192622644503</v>
      </c>
      <c r="F43" s="205">
        <v>228.58245388108452</v>
      </c>
      <c r="G43" s="205">
        <v>247.32298153572393</v>
      </c>
      <c r="H43" s="205">
        <v>266.06350919036333</v>
      </c>
      <c r="I43" s="205">
        <v>284.80403684500277</v>
      </c>
      <c r="J43" s="205">
        <v>303.54456449964209</v>
      </c>
      <c r="K43" s="205">
        <v>322.28509215428153</v>
      </c>
      <c r="L43" s="205">
        <v>341.02561980892102</v>
      </c>
      <c r="M43" s="205">
        <v>359.7661474635604</v>
      </c>
      <c r="N43" s="205">
        <v>378.50667511819989</v>
      </c>
      <c r="O43" s="206">
        <v>397.24720277283927</v>
      </c>
      <c r="P43" s="206">
        <v>415.98773042747871</v>
      </c>
      <c r="Q43" s="206">
        <v>434.72825808211809</v>
      </c>
      <c r="R43" s="206">
        <v>453.46878573675747</v>
      </c>
      <c r="S43" s="206">
        <v>472.20931339139696</v>
      </c>
      <c r="T43" s="206">
        <v>490.9498410460364</v>
      </c>
      <c r="U43" s="205">
        <v>509.69036870067572</v>
      </c>
      <c r="V43" s="205">
        <v>528.43089635531521</v>
      </c>
      <c r="W43" s="206">
        <v>547.17142400995465</v>
      </c>
      <c r="X43" s="207">
        <v>565.91195166459397</v>
      </c>
    </row>
    <row r="44" spans="2:24" s="144" customFormat="1" ht="15" customHeight="1" x14ac:dyDescent="0.4">
      <c r="B44" s="82">
        <v>2850</v>
      </c>
      <c r="C44" s="204">
        <v>175.33958802400355</v>
      </c>
      <c r="D44" s="205">
        <v>194.57656852978249</v>
      </c>
      <c r="E44" s="205">
        <v>213.81354903556149</v>
      </c>
      <c r="F44" s="205">
        <v>233.0505295413405</v>
      </c>
      <c r="G44" s="205">
        <v>252.28751004711947</v>
      </c>
      <c r="H44" s="205">
        <v>271.52449055289838</v>
      </c>
      <c r="I44" s="205">
        <v>290.76147105867744</v>
      </c>
      <c r="J44" s="205">
        <v>309.99845156445639</v>
      </c>
      <c r="K44" s="205">
        <v>329.23543207023533</v>
      </c>
      <c r="L44" s="205">
        <v>348.47241257601434</v>
      </c>
      <c r="M44" s="205">
        <v>367.70939308179334</v>
      </c>
      <c r="N44" s="205">
        <v>386.94637358757228</v>
      </c>
      <c r="O44" s="206">
        <v>406.18335409335123</v>
      </c>
      <c r="P44" s="206">
        <v>425.42033459913023</v>
      </c>
      <c r="Q44" s="206">
        <v>444.65731510490923</v>
      </c>
      <c r="R44" s="206">
        <v>463.89429561068812</v>
      </c>
      <c r="S44" s="206">
        <v>483.13127611646718</v>
      </c>
      <c r="T44" s="206">
        <v>502.36825662224624</v>
      </c>
      <c r="U44" s="205">
        <v>521.60523712802512</v>
      </c>
      <c r="V44" s="205">
        <v>540.84221763380413</v>
      </c>
      <c r="W44" s="206">
        <v>560.07919813958313</v>
      </c>
      <c r="X44" s="207">
        <v>579.31617864536202</v>
      </c>
    </row>
    <row r="45" spans="2:24" s="144" customFormat="1" ht="15" customHeight="1" thickBot="1" x14ac:dyDescent="0.45">
      <c r="B45" s="83">
        <v>3000</v>
      </c>
      <c r="C45" s="208">
        <v>178.31830513084091</v>
      </c>
      <c r="D45" s="209">
        <v>198.05173848775942</v>
      </c>
      <c r="E45" s="209">
        <v>217.78517184467796</v>
      </c>
      <c r="F45" s="209">
        <v>237.51860520159647</v>
      </c>
      <c r="G45" s="209">
        <v>257.25203855851504</v>
      </c>
      <c r="H45" s="209">
        <v>276.98547191543355</v>
      </c>
      <c r="I45" s="209">
        <v>296.71890527235223</v>
      </c>
      <c r="J45" s="209">
        <v>316.45233862927057</v>
      </c>
      <c r="K45" s="209">
        <v>336.18577198618908</v>
      </c>
      <c r="L45" s="209">
        <v>355.91920534310765</v>
      </c>
      <c r="M45" s="209">
        <v>375.65263870002627</v>
      </c>
      <c r="N45" s="209">
        <v>395.38607205694473</v>
      </c>
      <c r="O45" s="210">
        <v>415.11950541386329</v>
      </c>
      <c r="P45" s="210">
        <v>434.85293877078186</v>
      </c>
      <c r="Q45" s="210">
        <v>454.58637212770043</v>
      </c>
      <c r="R45" s="210">
        <v>474.31980548461894</v>
      </c>
      <c r="S45" s="210">
        <v>494.05323884153751</v>
      </c>
      <c r="T45" s="210">
        <v>513.7866721984559</v>
      </c>
      <c r="U45" s="209">
        <v>533.52010555537458</v>
      </c>
      <c r="V45" s="209">
        <v>553.25353891229304</v>
      </c>
      <c r="W45" s="210">
        <v>572.98697226921161</v>
      </c>
      <c r="X45" s="211">
        <v>592.72040562613006</v>
      </c>
    </row>
    <row r="46" spans="2:24" s="144" customFormat="1" x14ac:dyDescent="0.4">
      <c r="B46" s="150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0"/>
      <c r="Q46" s="150"/>
      <c r="R46" s="150"/>
      <c r="S46" s="150"/>
      <c r="T46" s="150"/>
      <c r="U46" s="150"/>
      <c r="V46" s="150"/>
      <c r="W46" s="150"/>
      <c r="X46" s="150"/>
    </row>
    <row r="47" spans="2:24" s="144" customFormat="1" ht="45.9" thickBot="1" x14ac:dyDescent="1.1000000000000001">
      <c r="B47" s="145" t="s">
        <v>29</v>
      </c>
      <c r="C47" s="146"/>
      <c r="D47" s="146"/>
      <c r="E47" s="146"/>
      <c r="F47" s="146"/>
      <c r="G47" s="47"/>
      <c r="H47" s="147"/>
      <c r="I47" s="147"/>
      <c r="J47" s="147"/>
      <c r="K47" s="146"/>
      <c r="L47" s="146"/>
      <c r="M47" s="148"/>
      <c r="N47" s="149"/>
      <c r="O47" s="146"/>
      <c r="P47" s="150"/>
      <c r="Q47" s="150"/>
      <c r="R47" s="150"/>
      <c r="S47" s="150"/>
      <c r="T47" s="150"/>
      <c r="U47" s="150"/>
      <c r="V47" s="150"/>
      <c r="W47" s="150"/>
      <c r="X47" s="150"/>
    </row>
    <row r="48" spans="2:24" s="144" customFormat="1" ht="15.9" thickBot="1" x14ac:dyDescent="0.45">
      <c r="B48" s="78"/>
      <c r="C48" s="79">
        <v>900</v>
      </c>
      <c r="D48" s="80">
        <v>1050</v>
      </c>
      <c r="E48" s="79">
        <v>1200</v>
      </c>
      <c r="F48" s="80">
        <v>1350</v>
      </c>
      <c r="G48" s="79">
        <v>1500</v>
      </c>
      <c r="H48" s="80">
        <v>1650</v>
      </c>
      <c r="I48" s="79">
        <v>1800</v>
      </c>
      <c r="J48" s="80">
        <v>1950</v>
      </c>
      <c r="K48" s="79">
        <v>2100</v>
      </c>
      <c r="L48" s="80">
        <v>2250</v>
      </c>
      <c r="M48" s="79">
        <v>2400</v>
      </c>
      <c r="N48" s="80">
        <v>2550</v>
      </c>
      <c r="O48" s="79">
        <v>2700</v>
      </c>
      <c r="P48" s="80">
        <v>2850</v>
      </c>
      <c r="Q48" s="79">
        <v>3000</v>
      </c>
      <c r="R48" s="80">
        <v>3150</v>
      </c>
      <c r="S48" s="79">
        <v>3300</v>
      </c>
      <c r="T48" s="80">
        <v>3450</v>
      </c>
      <c r="U48" s="79">
        <v>3600</v>
      </c>
      <c r="V48" s="80">
        <v>3750</v>
      </c>
      <c r="W48" s="79">
        <v>3900</v>
      </c>
      <c r="X48" s="85">
        <v>4000</v>
      </c>
    </row>
    <row r="49" spans="2:24" s="144" customFormat="1" ht="15.45" x14ac:dyDescent="0.4">
      <c r="B49" s="81">
        <v>900</v>
      </c>
      <c r="C49" s="200">
        <v>136.096873189984</v>
      </c>
      <c r="D49" s="201">
        <v>149.68343318812322</v>
      </c>
      <c r="E49" s="201">
        <v>163.26999318626247</v>
      </c>
      <c r="F49" s="201">
        <v>176.85655318440172</v>
      </c>
      <c r="G49" s="201">
        <v>190.44311318254097</v>
      </c>
      <c r="H49" s="201">
        <v>204.02967318068028</v>
      </c>
      <c r="I49" s="201">
        <v>217.6162331788195</v>
      </c>
      <c r="J49" s="201">
        <v>231.20279317695875</v>
      </c>
      <c r="K49" s="201">
        <v>244.78935317509797</v>
      </c>
      <c r="L49" s="201">
        <v>258.37591317323728</v>
      </c>
      <c r="M49" s="201">
        <v>271.96247317137653</v>
      </c>
      <c r="N49" s="201">
        <v>285.54903316951578</v>
      </c>
      <c r="O49" s="202">
        <v>299.13559316765503</v>
      </c>
      <c r="P49" s="202">
        <v>312.72215316579428</v>
      </c>
      <c r="Q49" s="202">
        <v>326.30871316393353</v>
      </c>
      <c r="R49" s="202">
        <v>339.89527316207278</v>
      </c>
      <c r="S49" s="202">
        <v>353.48183316021203</v>
      </c>
      <c r="T49" s="202">
        <v>367.06839315835134</v>
      </c>
      <c r="U49" s="201">
        <v>380.65495315649059</v>
      </c>
      <c r="V49" s="201">
        <v>394.24151315462984</v>
      </c>
      <c r="W49" s="202">
        <v>407.82807315276904</v>
      </c>
      <c r="X49" s="203">
        <v>421.4146331509084</v>
      </c>
    </row>
    <row r="50" spans="2:24" s="144" customFormat="1" ht="15.45" x14ac:dyDescent="0.4">
      <c r="B50" s="82">
        <v>1050</v>
      </c>
      <c r="C50" s="204">
        <v>139.07559029682133</v>
      </c>
      <c r="D50" s="205">
        <v>153.15860314610012</v>
      </c>
      <c r="E50" s="205">
        <v>167.24161599537896</v>
      </c>
      <c r="F50" s="205">
        <v>181.32462884465778</v>
      </c>
      <c r="G50" s="205">
        <v>195.40764169393657</v>
      </c>
      <c r="H50" s="205">
        <v>209.49065454321541</v>
      </c>
      <c r="I50" s="205">
        <v>223.57366739249417</v>
      </c>
      <c r="J50" s="205">
        <v>237.65668024177299</v>
      </c>
      <c r="K50" s="205">
        <v>251.73969309105181</v>
      </c>
      <c r="L50" s="205">
        <v>265.82270594033059</v>
      </c>
      <c r="M50" s="205">
        <v>279.90571878960941</v>
      </c>
      <c r="N50" s="205">
        <v>293.98873163888828</v>
      </c>
      <c r="O50" s="206">
        <v>308.0717444881671</v>
      </c>
      <c r="P50" s="206">
        <v>322.15475733744591</v>
      </c>
      <c r="Q50" s="206">
        <v>336.23777018672473</v>
      </c>
      <c r="R50" s="206">
        <v>350.3207830360036</v>
      </c>
      <c r="S50" s="206">
        <v>364.40379588528231</v>
      </c>
      <c r="T50" s="206">
        <v>378.48680873456118</v>
      </c>
      <c r="U50" s="205">
        <v>392.56982158383994</v>
      </c>
      <c r="V50" s="205">
        <v>406.65283443311881</v>
      </c>
      <c r="W50" s="206">
        <v>420.73584728239757</v>
      </c>
      <c r="X50" s="207">
        <v>434.81886013167639</v>
      </c>
    </row>
    <row r="51" spans="2:24" s="144" customFormat="1" ht="15.45" x14ac:dyDescent="0.4">
      <c r="B51" s="82">
        <v>1200</v>
      </c>
      <c r="C51" s="204">
        <v>142.05430740365867</v>
      </c>
      <c r="D51" s="205">
        <v>156.63377310407705</v>
      </c>
      <c r="E51" s="205">
        <v>171.2132388044954</v>
      </c>
      <c r="F51" s="205">
        <v>185.79270450491379</v>
      </c>
      <c r="G51" s="205">
        <v>200.37217020533217</v>
      </c>
      <c r="H51" s="205">
        <v>214.95163590575055</v>
      </c>
      <c r="I51" s="205">
        <v>229.5311016061689</v>
      </c>
      <c r="J51" s="205">
        <v>244.11056730658726</v>
      </c>
      <c r="K51" s="205">
        <v>258.69003300700558</v>
      </c>
      <c r="L51" s="205">
        <v>273.26949870742396</v>
      </c>
      <c r="M51" s="205">
        <v>287.84896440784235</v>
      </c>
      <c r="N51" s="205">
        <v>302.42843010826084</v>
      </c>
      <c r="O51" s="206">
        <v>317.00789580867911</v>
      </c>
      <c r="P51" s="206">
        <v>331.58736150909749</v>
      </c>
      <c r="Q51" s="206">
        <v>346.16682720951587</v>
      </c>
      <c r="R51" s="206">
        <v>360.7462929099342</v>
      </c>
      <c r="S51" s="206">
        <v>375.32575861035258</v>
      </c>
      <c r="T51" s="206">
        <v>389.90522431077102</v>
      </c>
      <c r="U51" s="205">
        <v>404.48469001118934</v>
      </c>
      <c r="V51" s="205">
        <v>419.06415571160767</v>
      </c>
      <c r="W51" s="206">
        <v>433.64362141202616</v>
      </c>
      <c r="X51" s="207">
        <v>448.22308711244443</v>
      </c>
    </row>
    <row r="52" spans="2:24" s="144" customFormat="1" ht="15.45" x14ac:dyDescent="0.4">
      <c r="B52" s="82">
        <v>1350</v>
      </c>
      <c r="C52" s="204">
        <v>145.03302451049601</v>
      </c>
      <c r="D52" s="205">
        <v>160.10894306205392</v>
      </c>
      <c r="E52" s="205">
        <v>175.18486161361187</v>
      </c>
      <c r="F52" s="205">
        <v>190.26078016516979</v>
      </c>
      <c r="G52" s="205">
        <v>205.33669871672774</v>
      </c>
      <c r="H52" s="205">
        <v>220.41261726828569</v>
      </c>
      <c r="I52" s="205">
        <v>235.48853581984358</v>
      </c>
      <c r="J52" s="205">
        <v>250.5644543714015</v>
      </c>
      <c r="K52" s="205">
        <v>265.64037292295944</v>
      </c>
      <c r="L52" s="205">
        <v>280.71629147451733</v>
      </c>
      <c r="M52" s="205">
        <v>295.79221002607528</v>
      </c>
      <c r="N52" s="205">
        <v>310.86812857763323</v>
      </c>
      <c r="O52" s="206">
        <v>325.94404712919118</v>
      </c>
      <c r="P52" s="206">
        <v>341.01996568074912</v>
      </c>
      <c r="Q52" s="206">
        <v>356.0958842323069</v>
      </c>
      <c r="R52" s="206">
        <v>371.17180278386496</v>
      </c>
      <c r="S52" s="206">
        <v>386.24772133542285</v>
      </c>
      <c r="T52" s="206">
        <v>401.3236398869808</v>
      </c>
      <c r="U52" s="205">
        <v>416.39955843853863</v>
      </c>
      <c r="V52" s="205">
        <v>431.47547699009675</v>
      </c>
      <c r="W52" s="206">
        <v>446.55139554165464</v>
      </c>
      <c r="X52" s="207">
        <v>461.62731409321236</v>
      </c>
    </row>
    <row r="53" spans="2:24" s="144" customFormat="1" ht="15.45" x14ac:dyDescent="0.4">
      <c r="B53" s="82">
        <v>1500</v>
      </c>
      <c r="C53" s="204">
        <v>148.01174161733337</v>
      </c>
      <c r="D53" s="205">
        <v>163.58411302003086</v>
      </c>
      <c r="E53" s="205">
        <v>179.15648442272834</v>
      </c>
      <c r="F53" s="205">
        <v>194.7288558254258</v>
      </c>
      <c r="G53" s="205">
        <v>210.30122722812334</v>
      </c>
      <c r="H53" s="205">
        <v>225.87359863082079</v>
      </c>
      <c r="I53" s="205">
        <v>241.44597003351831</v>
      </c>
      <c r="J53" s="205">
        <v>257.01834143621574</v>
      </c>
      <c r="K53" s="205">
        <v>272.59071283891325</v>
      </c>
      <c r="L53" s="205">
        <v>288.16308424161076</v>
      </c>
      <c r="M53" s="205">
        <v>303.73545564430822</v>
      </c>
      <c r="N53" s="205">
        <v>319.30782704700573</v>
      </c>
      <c r="O53" s="206">
        <v>334.88019844970324</v>
      </c>
      <c r="P53" s="206">
        <v>350.45256985240076</v>
      </c>
      <c r="Q53" s="206">
        <v>366.02494125509821</v>
      </c>
      <c r="R53" s="206">
        <v>381.59731265779561</v>
      </c>
      <c r="S53" s="206">
        <v>397.16968406049318</v>
      </c>
      <c r="T53" s="206">
        <v>412.7420554631907</v>
      </c>
      <c r="U53" s="205">
        <v>428.31442686588809</v>
      </c>
      <c r="V53" s="205">
        <v>443.88679826858561</v>
      </c>
      <c r="W53" s="206">
        <v>459.45916967128312</v>
      </c>
      <c r="X53" s="207">
        <v>475.03154107398063</v>
      </c>
    </row>
    <row r="54" spans="2:24" s="144" customFormat="1" ht="15" customHeight="1" x14ac:dyDescent="0.4">
      <c r="B54" s="82">
        <v>1650</v>
      </c>
      <c r="C54" s="204">
        <v>150.99045872417074</v>
      </c>
      <c r="D54" s="205">
        <v>167.05928297800776</v>
      </c>
      <c r="E54" s="205">
        <v>183.12810723184481</v>
      </c>
      <c r="F54" s="205">
        <v>199.19693148568183</v>
      </c>
      <c r="G54" s="205">
        <v>215.26575573951888</v>
      </c>
      <c r="H54" s="205">
        <v>231.33457999335593</v>
      </c>
      <c r="I54" s="205">
        <v>247.40340424719304</v>
      </c>
      <c r="J54" s="205">
        <v>263.47222850103009</v>
      </c>
      <c r="K54" s="205">
        <v>279.54105275486705</v>
      </c>
      <c r="L54" s="205">
        <v>295.60987700870407</v>
      </c>
      <c r="M54" s="205">
        <v>311.6787012625411</v>
      </c>
      <c r="N54" s="205">
        <v>327.74752551637823</v>
      </c>
      <c r="O54" s="206">
        <v>343.81634977021531</v>
      </c>
      <c r="P54" s="206">
        <v>359.88517402405222</v>
      </c>
      <c r="Q54" s="206">
        <v>375.95399827788941</v>
      </c>
      <c r="R54" s="206">
        <v>392.02282253172638</v>
      </c>
      <c r="S54" s="206">
        <v>408.09164678556351</v>
      </c>
      <c r="T54" s="206">
        <v>424.16047103940059</v>
      </c>
      <c r="U54" s="205">
        <v>440.22929529323756</v>
      </c>
      <c r="V54" s="205">
        <v>456.29811954707452</v>
      </c>
      <c r="W54" s="206">
        <v>472.3669438009116</v>
      </c>
      <c r="X54" s="207">
        <v>488.43576805474873</v>
      </c>
    </row>
    <row r="55" spans="2:24" s="144" customFormat="1" ht="15" customHeight="1" x14ac:dyDescent="0.4">
      <c r="B55" s="82">
        <v>1800</v>
      </c>
      <c r="C55" s="204">
        <v>153.9691758310081</v>
      </c>
      <c r="D55" s="205">
        <v>170.53445293598466</v>
      </c>
      <c r="E55" s="205">
        <v>187.09973004096128</v>
      </c>
      <c r="F55" s="205">
        <v>203.66500714593789</v>
      </c>
      <c r="G55" s="205">
        <v>220.23028425091445</v>
      </c>
      <c r="H55" s="205">
        <v>236.79556135589104</v>
      </c>
      <c r="I55" s="205">
        <v>253.36083846086768</v>
      </c>
      <c r="J55" s="205">
        <v>269.92611556584421</v>
      </c>
      <c r="K55" s="205">
        <v>286.49139267082091</v>
      </c>
      <c r="L55" s="205">
        <v>303.0566697757975</v>
      </c>
      <c r="M55" s="205">
        <v>319.62194688077409</v>
      </c>
      <c r="N55" s="205">
        <v>336.18722398575073</v>
      </c>
      <c r="O55" s="206">
        <v>352.75250109072721</v>
      </c>
      <c r="P55" s="206">
        <v>369.31777819570391</v>
      </c>
      <c r="Q55" s="206">
        <v>385.8830553006805</v>
      </c>
      <c r="R55" s="206">
        <v>402.44833240565708</v>
      </c>
      <c r="S55" s="206">
        <v>419.01360951063367</v>
      </c>
      <c r="T55" s="206">
        <v>435.57888661561037</v>
      </c>
      <c r="U55" s="205">
        <v>452.1441637205869</v>
      </c>
      <c r="V55" s="205">
        <v>468.70944082556355</v>
      </c>
      <c r="W55" s="206">
        <v>485.27471793054008</v>
      </c>
      <c r="X55" s="207">
        <v>501.83999503551667</v>
      </c>
    </row>
    <row r="56" spans="2:24" s="144" customFormat="1" ht="15" customHeight="1" x14ac:dyDescent="0.4">
      <c r="B56" s="82">
        <v>1950</v>
      </c>
      <c r="C56" s="204">
        <v>156.94789293784541</v>
      </c>
      <c r="D56" s="205">
        <v>174.00962289396156</v>
      </c>
      <c r="E56" s="205">
        <v>191.07135285007772</v>
      </c>
      <c r="F56" s="205">
        <v>208.13308280619387</v>
      </c>
      <c r="G56" s="205">
        <v>225.19481276231005</v>
      </c>
      <c r="H56" s="205">
        <v>242.25654271842618</v>
      </c>
      <c r="I56" s="205">
        <v>259.31827267454236</v>
      </c>
      <c r="J56" s="205">
        <v>276.38000263065851</v>
      </c>
      <c r="K56" s="205">
        <v>293.44173258677472</v>
      </c>
      <c r="L56" s="205">
        <v>310.50346254289082</v>
      </c>
      <c r="M56" s="205">
        <v>327.56519249900703</v>
      </c>
      <c r="N56" s="205">
        <v>344.62692245512318</v>
      </c>
      <c r="O56" s="206">
        <v>361.68865241123933</v>
      </c>
      <c r="P56" s="206">
        <v>378.75038236735548</v>
      </c>
      <c r="Q56" s="206">
        <v>395.81211232347169</v>
      </c>
      <c r="R56" s="206">
        <v>412.87384227958779</v>
      </c>
      <c r="S56" s="206">
        <v>429.93557223570411</v>
      </c>
      <c r="T56" s="206">
        <v>446.99730219182021</v>
      </c>
      <c r="U56" s="205">
        <v>464.05903214793625</v>
      </c>
      <c r="V56" s="205">
        <v>481.1207621040524</v>
      </c>
      <c r="W56" s="206">
        <v>498.18249206016856</v>
      </c>
      <c r="X56" s="207">
        <v>515.24422201628477</v>
      </c>
    </row>
    <row r="57" spans="2:24" s="144" customFormat="1" ht="15" customHeight="1" x14ac:dyDescent="0.4">
      <c r="B57" s="82">
        <v>2100</v>
      </c>
      <c r="C57" s="204">
        <v>159.92661004468275</v>
      </c>
      <c r="D57" s="205">
        <v>177.48479285193852</v>
      </c>
      <c r="E57" s="205">
        <v>195.04297565919421</v>
      </c>
      <c r="F57" s="205">
        <v>212.60115846644987</v>
      </c>
      <c r="G57" s="205">
        <v>230.15934127370562</v>
      </c>
      <c r="H57" s="205">
        <v>247.71752408096134</v>
      </c>
      <c r="I57" s="205">
        <v>265.27570688821703</v>
      </c>
      <c r="J57" s="205">
        <v>282.83388969547269</v>
      </c>
      <c r="K57" s="205">
        <v>300.39207250272847</v>
      </c>
      <c r="L57" s="205">
        <v>317.95025530998424</v>
      </c>
      <c r="M57" s="205">
        <v>335.50843811723996</v>
      </c>
      <c r="N57" s="205">
        <v>353.06662092449568</v>
      </c>
      <c r="O57" s="206">
        <v>370.6248037317514</v>
      </c>
      <c r="P57" s="206">
        <v>388.18298653900712</v>
      </c>
      <c r="Q57" s="206">
        <v>405.74116934626284</v>
      </c>
      <c r="R57" s="206">
        <v>423.29935215351861</v>
      </c>
      <c r="S57" s="206">
        <v>440.85753496077427</v>
      </c>
      <c r="T57" s="206">
        <v>458.41571776802994</v>
      </c>
      <c r="U57" s="205">
        <v>475.97390057528554</v>
      </c>
      <c r="V57" s="205">
        <v>493.53208338254149</v>
      </c>
      <c r="W57" s="206">
        <v>511.09026618979715</v>
      </c>
      <c r="X57" s="207">
        <v>528.64844899705281</v>
      </c>
    </row>
    <row r="58" spans="2:24" s="144" customFormat="1" ht="15" customHeight="1" x14ac:dyDescent="0.4">
      <c r="B58" s="82">
        <v>2250</v>
      </c>
      <c r="C58" s="204">
        <v>162.90532715152008</v>
      </c>
      <c r="D58" s="205">
        <v>180.9599628099154</v>
      </c>
      <c r="E58" s="205">
        <v>199.01459846831065</v>
      </c>
      <c r="F58" s="205">
        <v>217.06923412670596</v>
      </c>
      <c r="G58" s="205">
        <v>235.12386978510119</v>
      </c>
      <c r="H58" s="205">
        <v>253.17850544349648</v>
      </c>
      <c r="I58" s="205">
        <v>271.23314110189176</v>
      </c>
      <c r="J58" s="205">
        <v>289.2877767602871</v>
      </c>
      <c r="K58" s="205">
        <v>307.34241241868227</v>
      </c>
      <c r="L58" s="205">
        <v>325.39704807707756</v>
      </c>
      <c r="M58" s="205">
        <v>343.45168373547295</v>
      </c>
      <c r="N58" s="205">
        <v>361.50631939386818</v>
      </c>
      <c r="O58" s="206">
        <v>379.56095505226347</v>
      </c>
      <c r="P58" s="206">
        <v>397.61559071065869</v>
      </c>
      <c r="Q58" s="206">
        <v>415.67022636905398</v>
      </c>
      <c r="R58" s="206">
        <v>433.72486202744938</v>
      </c>
      <c r="S58" s="206">
        <v>451.77949768584443</v>
      </c>
      <c r="T58" s="206">
        <v>469.83413334423983</v>
      </c>
      <c r="U58" s="205">
        <v>487.888769002635</v>
      </c>
      <c r="V58" s="205">
        <v>505.94340466103034</v>
      </c>
      <c r="W58" s="206">
        <v>523.99804031942563</v>
      </c>
      <c r="X58" s="207">
        <v>542.05267597782085</v>
      </c>
    </row>
    <row r="59" spans="2:24" s="144" customFormat="1" ht="15" customHeight="1" x14ac:dyDescent="0.4">
      <c r="B59" s="82">
        <v>2400</v>
      </c>
      <c r="C59" s="204">
        <v>165.88404425835745</v>
      </c>
      <c r="D59" s="205">
        <v>184.43513276789227</v>
      </c>
      <c r="E59" s="205">
        <v>202.98622127742715</v>
      </c>
      <c r="F59" s="205">
        <v>221.53730978696194</v>
      </c>
      <c r="G59" s="205">
        <v>240.08839829649682</v>
      </c>
      <c r="H59" s="205">
        <v>258.63948680603164</v>
      </c>
      <c r="I59" s="205">
        <v>277.19057531556643</v>
      </c>
      <c r="J59" s="205">
        <v>295.74166382510123</v>
      </c>
      <c r="K59" s="205">
        <v>314.29275233463608</v>
      </c>
      <c r="L59" s="205">
        <v>332.84384084417093</v>
      </c>
      <c r="M59" s="205">
        <v>351.39492935370578</v>
      </c>
      <c r="N59" s="205">
        <v>369.94601786324057</v>
      </c>
      <c r="O59" s="206">
        <v>388.49710637277542</v>
      </c>
      <c r="P59" s="206">
        <v>407.04819488231027</v>
      </c>
      <c r="Q59" s="206">
        <v>425.59928339184512</v>
      </c>
      <c r="R59" s="206">
        <v>444.15037190137991</v>
      </c>
      <c r="S59" s="206">
        <v>462.70146041091482</v>
      </c>
      <c r="T59" s="206">
        <v>481.25254892044961</v>
      </c>
      <c r="U59" s="205">
        <v>499.80363742998446</v>
      </c>
      <c r="V59" s="205">
        <v>518.35472593951943</v>
      </c>
      <c r="W59" s="206">
        <v>536.90581444905411</v>
      </c>
      <c r="X59" s="207">
        <v>555.4569029585889</v>
      </c>
    </row>
    <row r="60" spans="2:24" s="144" customFormat="1" ht="15" customHeight="1" x14ac:dyDescent="0.4">
      <c r="B60" s="82">
        <v>2550</v>
      </c>
      <c r="C60" s="204">
        <v>168.86276136519476</v>
      </c>
      <c r="D60" s="205">
        <v>187.9103027258692</v>
      </c>
      <c r="E60" s="205">
        <v>206.95784408654359</v>
      </c>
      <c r="F60" s="205">
        <v>226.00538544721803</v>
      </c>
      <c r="G60" s="205">
        <v>245.05292680789236</v>
      </c>
      <c r="H60" s="205">
        <v>264.10046816856675</v>
      </c>
      <c r="I60" s="205">
        <v>283.14800952924122</v>
      </c>
      <c r="J60" s="205">
        <v>302.19555088991558</v>
      </c>
      <c r="K60" s="205">
        <v>321.24309225058994</v>
      </c>
      <c r="L60" s="205">
        <v>340.2906336112643</v>
      </c>
      <c r="M60" s="205">
        <v>359.33817497193871</v>
      </c>
      <c r="N60" s="205">
        <v>378.38571633261313</v>
      </c>
      <c r="O60" s="206">
        <v>397.43325769328754</v>
      </c>
      <c r="P60" s="206">
        <v>416.48079905396185</v>
      </c>
      <c r="Q60" s="206">
        <v>435.52834041463626</v>
      </c>
      <c r="R60" s="206">
        <v>454.57588177531062</v>
      </c>
      <c r="S60" s="206">
        <v>473.62342313598504</v>
      </c>
      <c r="T60" s="206">
        <v>492.67096449665939</v>
      </c>
      <c r="U60" s="205">
        <v>511.71850585733381</v>
      </c>
      <c r="V60" s="205">
        <v>530.76604721800823</v>
      </c>
      <c r="W60" s="206">
        <v>549.81358857868258</v>
      </c>
      <c r="X60" s="207">
        <v>568.86112993935706</v>
      </c>
    </row>
    <row r="61" spans="2:24" s="144" customFormat="1" ht="15" customHeight="1" x14ac:dyDescent="0.4">
      <c r="B61" s="82">
        <v>2700</v>
      </c>
      <c r="C61" s="204">
        <v>171.84147847203215</v>
      </c>
      <c r="D61" s="205">
        <v>191.38547268384607</v>
      </c>
      <c r="E61" s="205">
        <v>210.92946689566006</v>
      </c>
      <c r="F61" s="205">
        <v>230.47346110747401</v>
      </c>
      <c r="G61" s="205">
        <v>250.0174553192879</v>
      </c>
      <c r="H61" s="205">
        <v>269.56144953110186</v>
      </c>
      <c r="I61" s="205">
        <v>289.1054437429159</v>
      </c>
      <c r="J61" s="205">
        <v>308.64943795472976</v>
      </c>
      <c r="K61" s="205">
        <v>328.19343216654369</v>
      </c>
      <c r="L61" s="205">
        <v>347.73742637835772</v>
      </c>
      <c r="M61" s="205">
        <v>367.28142059017165</v>
      </c>
      <c r="N61" s="205">
        <v>386.82541480198563</v>
      </c>
      <c r="O61" s="206">
        <v>406.36940901379961</v>
      </c>
      <c r="P61" s="206">
        <v>425.91340322561348</v>
      </c>
      <c r="Q61" s="206">
        <v>445.4573974374274</v>
      </c>
      <c r="R61" s="206">
        <v>465.00139164924138</v>
      </c>
      <c r="S61" s="206">
        <v>484.54538586105537</v>
      </c>
      <c r="T61" s="206">
        <v>504.08938007286923</v>
      </c>
      <c r="U61" s="205">
        <v>523.63337428468333</v>
      </c>
      <c r="V61" s="205">
        <v>543.17736849649702</v>
      </c>
      <c r="W61" s="206">
        <v>562.72136270831106</v>
      </c>
      <c r="X61" s="207">
        <v>582.26535692012499</v>
      </c>
    </row>
    <row r="62" spans="2:24" s="144" customFormat="1" ht="15" customHeight="1" x14ac:dyDescent="0.4">
      <c r="B62" s="82">
        <v>2850</v>
      </c>
      <c r="C62" s="204">
        <v>174.82019557886952</v>
      </c>
      <c r="D62" s="205">
        <v>194.86064264182301</v>
      </c>
      <c r="E62" s="205">
        <v>214.90108970477652</v>
      </c>
      <c r="F62" s="205">
        <v>234.94153676773001</v>
      </c>
      <c r="G62" s="205">
        <v>254.98198383068356</v>
      </c>
      <c r="H62" s="205">
        <v>275.02243089363708</v>
      </c>
      <c r="I62" s="205">
        <v>295.06287795659051</v>
      </c>
      <c r="J62" s="205">
        <v>315.103325019544</v>
      </c>
      <c r="K62" s="205">
        <v>335.14377208249755</v>
      </c>
      <c r="L62" s="205">
        <v>355.18421914545104</v>
      </c>
      <c r="M62" s="205">
        <v>375.22466620840453</v>
      </c>
      <c r="N62" s="205">
        <v>395.26511327135808</v>
      </c>
      <c r="O62" s="206">
        <v>415.30556033431162</v>
      </c>
      <c r="P62" s="206">
        <v>435.34600739726511</v>
      </c>
      <c r="Q62" s="206">
        <v>455.3864544602186</v>
      </c>
      <c r="R62" s="206">
        <v>475.42690152317209</v>
      </c>
      <c r="S62" s="206">
        <v>495.46734858612564</v>
      </c>
      <c r="T62" s="206">
        <v>515.50779564907918</v>
      </c>
      <c r="U62" s="205">
        <v>535.54824271203256</v>
      </c>
      <c r="V62" s="205">
        <v>555.58868977498616</v>
      </c>
      <c r="W62" s="206">
        <v>575.62913683793965</v>
      </c>
      <c r="X62" s="207">
        <v>595.66958390089326</v>
      </c>
    </row>
    <row r="63" spans="2:24" s="144" customFormat="1" ht="15" customHeight="1" thickBot="1" x14ac:dyDescent="0.45">
      <c r="B63" s="83">
        <v>3000</v>
      </c>
      <c r="C63" s="208">
        <v>177.79891268570685</v>
      </c>
      <c r="D63" s="209">
        <v>198.33581259979991</v>
      </c>
      <c r="E63" s="209">
        <v>218.87271251389294</v>
      </c>
      <c r="F63" s="209">
        <v>239.40961242798608</v>
      </c>
      <c r="G63" s="209">
        <v>259.94651234207913</v>
      </c>
      <c r="H63" s="209">
        <v>280.48341225617213</v>
      </c>
      <c r="I63" s="209">
        <v>301.02031217026524</v>
      </c>
      <c r="J63" s="209">
        <v>321.55721208435824</v>
      </c>
      <c r="K63" s="209">
        <v>342.09411199845135</v>
      </c>
      <c r="L63" s="209">
        <v>362.63101191254447</v>
      </c>
      <c r="M63" s="209">
        <v>383.16791182663746</v>
      </c>
      <c r="N63" s="209">
        <v>403.70481174073058</v>
      </c>
      <c r="O63" s="210">
        <v>424.24171165482358</v>
      </c>
      <c r="P63" s="210">
        <v>444.77861156891674</v>
      </c>
      <c r="Q63" s="210">
        <v>465.31551148300986</v>
      </c>
      <c r="R63" s="210">
        <v>485.8524113971028</v>
      </c>
      <c r="S63" s="210">
        <v>506.38931131119591</v>
      </c>
      <c r="T63" s="210">
        <v>526.92621122528897</v>
      </c>
      <c r="U63" s="209">
        <v>547.46311113938214</v>
      </c>
      <c r="V63" s="209">
        <v>568.00001105347496</v>
      </c>
      <c r="W63" s="210">
        <v>588.53691096756813</v>
      </c>
      <c r="X63" s="211">
        <v>609.07381088166119</v>
      </c>
    </row>
    <row r="64" spans="2:24" s="144" customFormat="1" x14ac:dyDescent="0.4">
      <c r="B64" s="150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0"/>
      <c r="Q64" s="150"/>
      <c r="R64" s="150"/>
      <c r="S64" s="150"/>
      <c r="T64" s="150"/>
      <c r="U64" s="150"/>
      <c r="V64" s="150"/>
      <c r="W64" s="150"/>
      <c r="X64" s="150"/>
    </row>
    <row r="65" spans="2:24" s="144" customFormat="1" ht="45.9" thickBot="1" x14ac:dyDescent="1.1000000000000001">
      <c r="B65" s="145" t="s">
        <v>30</v>
      </c>
      <c r="C65" s="146"/>
      <c r="D65" s="146"/>
      <c r="E65" s="146"/>
      <c r="F65" s="146"/>
      <c r="G65" s="47"/>
      <c r="H65" s="147"/>
      <c r="I65" s="147"/>
      <c r="J65" s="147"/>
      <c r="K65" s="146"/>
      <c r="L65" s="146"/>
      <c r="M65" s="148"/>
      <c r="N65" s="149"/>
      <c r="O65" s="146"/>
      <c r="P65" s="150"/>
      <c r="Q65" s="150"/>
      <c r="R65" s="150"/>
      <c r="S65" s="150"/>
      <c r="T65" s="150"/>
      <c r="U65" s="150"/>
      <c r="V65" s="150"/>
      <c r="W65" s="150"/>
      <c r="X65" s="150"/>
    </row>
    <row r="66" spans="2:24" s="144" customFormat="1" ht="15.9" thickBot="1" x14ac:dyDescent="0.45">
      <c r="B66" s="78"/>
      <c r="C66" s="79">
        <v>900</v>
      </c>
      <c r="D66" s="80">
        <v>1050</v>
      </c>
      <c r="E66" s="79">
        <v>1200</v>
      </c>
      <c r="F66" s="80">
        <v>1350</v>
      </c>
      <c r="G66" s="79">
        <v>1500</v>
      </c>
      <c r="H66" s="80">
        <v>1650</v>
      </c>
      <c r="I66" s="79">
        <v>1800</v>
      </c>
      <c r="J66" s="80">
        <v>1950</v>
      </c>
      <c r="K66" s="79">
        <v>2100</v>
      </c>
      <c r="L66" s="80">
        <v>2250</v>
      </c>
      <c r="M66" s="79">
        <v>2400</v>
      </c>
      <c r="N66" s="80">
        <v>2550</v>
      </c>
      <c r="O66" s="79">
        <v>2700</v>
      </c>
      <c r="P66" s="80">
        <v>2850</v>
      </c>
      <c r="Q66" s="79">
        <v>3000</v>
      </c>
      <c r="R66" s="80">
        <v>3150</v>
      </c>
      <c r="S66" s="79">
        <v>3300</v>
      </c>
      <c r="T66" s="80">
        <v>3500</v>
      </c>
      <c r="U66" s="79">
        <v>3600</v>
      </c>
      <c r="V66" s="80">
        <v>3750</v>
      </c>
      <c r="W66" s="79">
        <v>3900</v>
      </c>
      <c r="X66" s="85">
        <v>4000</v>
      </c>
    </row>
    <row r="67" spans="2:24" s="144" customFormat="1" ht="15.45" x14ac:dyDescent="0.4">
      <c r="B67" s="81">
        <v>900</v>
      </c>
      <c r="C67" s="200">
        <v>115.71867838238836</v>
      </c>
      <c r="D67" s="201">
        <v>127.34597306361242</v>
      </c>
      <c r="E67" s="201">
        <v>138.97326774483653</v>
      </c>
      <c r="F67" s="201">
        <v>150.60056242606066</v>
      </c>
      <c r="G67" s="201">
        <v>162.22785710728476</v>
      </c>
      <c r="H67" s="201">
        <v>173.85515178850886</v>
      </c>
      <c r="I67" s="201">
        <v>185.48244646973299</v>
      </c>
      <c r="J67" s="201">
        <v>197.10974115095706</v>
      </c>
      <c r="K67" s="201">
        <v>208.73703583218111</v>
      </c>
      <c r="L67" s="201">
        <v>220.36433051340521</v>
      </c>
      <c r="M67" s="201">
        <v>231.99162519462936</v>
      </c>
      <c r="N67" s="201">
        <v>243.61891987585346</v>
      </c>
      <c r="O67" s="202">
        <v>255.24621455707751</v>
      </c>
      <c r="P67" s="202">
        <v>266.87350923830166</v>
      </c>
      <c r="Q67" s="202">
        <v>278.50080391952577</v>
      </c>
      <c r="R67" s="202">
        <v>290.12809860074975</v>
      </c>
      <c r="S67" s="202">
        <v>301.75539328197402</v>
      </c>
      <c r="T67" s="202">
        <v>313.38268796319807</v>
      </c>
      <c r="U67" s="212" t="s">
        <v>7</v>
      </c>
      <c r="V67" s="212" t="s">
        <v>7</v>
      </c>
      <c r="W67" s="213" t="s">
        <v>7</v>
      </c>
      <c r="X67" s="214" t="s">
        <v>7</v>
      </c>
    </row>
    <row r="68" spans="2:24" s="144" customFormat="1" ht="15.45" x14ac:dyDescent="0.4">
      <c r="B68" s="82">
        <v>1050</v>
      </c>
      <c r="C68" s="204">
        <v>121.82923728981321</v>
      </c>
      <c r="D68" s="205">
        <v>133.95298482217686</v>
      </c>
      <c r="E68" s="205">
        <v>146.0767323545405</v>
      </c>
      <c r="F68" s="205">
        <v>158.20047988690416</v>
      </c>
      <c r="G68" s="205">
        <v>170.32422741926783</v>
      </c>
      <c r="H68" s="205">
        <v>182.44797495163149</v>
      </c>
      <c r="I68" s="205">
        <v>194.57172248399513</v>
      </c>
      <c r="J68" s="205">
        <v>206.6954700163588</v>
      </c>
      <c r="K68" s="205">
        <v>218.81921754872246</v>
      </c>
      <c r="L68" s="205">
        <v>230.94296508108613</v>
      </c>
      <c r="M68" s="205">
        <v>243.06671261344974</v>
      </c>
      <c r="N68" s="205">
        <v>255.19046014581346</v>
      </c>
      <c r="O68" s="206">
        <v>267.31420767817701</v>
      </c>
      <c r="P68" s="206">
        <v>279.43795521054068</v>
      </c>
      <c r="Q68" s="206">
        <v>291.56170274290446</v>
      </c>
      <c r="R68" s="206">
        <v>303.68545027526807</v>
      </c>
      <c r="S68" s="206">
        <v>315.80919780763173</v>
      </c>
      <c r="T68" s="206">
        <v>327.9329453399954</v>
      </c>
      <c r="U68" s="215" t="s">
        <v>7</v>
      </c>
      <c r="V68" s="215" t="s">
        <v>7</v>
      </c>
      <c r="W68" s="216" t="s">
        <v>7</v>
      </c>
      <c r="X68" s="217" t="s">
        <v>7</v>
      </c>
    </row>
    <row r="69" spans="2:24" s="144" customFormat="1" ht="15.45" x14ac:dyDescent="0.4">
      <c r="B69" s="82">
        <v>1200</v>
      </c>
      <c r="C69" s="204">
        <v>127.93979619723807</v>
      </c>
      <c r="D69" s="205">
        <v>140.55999658074126</v>
      </c>
      <c r="E69" s="205">
        <v>153.18019696424449</v>
      </c>
      <c r="F69" s="205">
        <v>165.80039734774766</v>
      </c>
      <c r="G69" s="205">
        <v>178.42059773125089</v>
      </c>
      <c r="H69" s="205">
        <v>191.04079811475412</v>
      </c>
      <c r="I69" s="205">
        <v>203.66099849825736</v>
      </c>
      <c r="J69" s="205">
        <v>216.28119888176059</v>
      </c>
      <c r="K69" s="205">
        <v>228.90139926526376</v>
      </c>
      <c r="L69" s="205">
        <v>241.52159964876697</v>
      </c>
      <c r="M69" s="205">
        <v>254.1418000322702</v>
      </c>
      <c r="N69" s="205">
        <v>266.7620004157734</v>
      </c>
      <c r="O69" s="206">
        <v>279.38220079927657</v>
      </c>
      <c r="P69" s="206">
        <v>292.00240118277981</v>
      </c>
      <c r="Q69" s="206">
        <v>304.62260156628304</v>
      </c>
      <c r="R69" s="206">
        <v>317.24280194978627</v>
      </c>
      <c r="S69" s="206">
        <v>329.86300233328939</v>
      </c>
      <c r="T69" s="206">
        <v>342.48320271679273</v>
      </c>
      <c r="U69" s="215" t="s">
        <v>7</v>
      </c>
      <c r="V69" s="215" t="s">
        <v>7</v>
      </c>
      <c r="W69" s="216" t="s">
        <v>7</v>
      </c>
      <c r="X69" s="217" t="s">
        <v>7</v>
      </c>
    </row>
    <row r="70" spans="2:24" s="144" customFormat="1" ht="15.45" x14ac:dyDescent="0.4">
      <c r="B70" s="82">
        <v>1350</v>
      </c>
      <c r="C70" s="204">
        <v>134.05035510466291</v>
      </c>
      <c r="D70" s="205">
        <v>147.16700833930565</v>
      </c>
      <c r="E70" s="205">
        <v>160.28366157394845</v>
      </c>
      <c r="F70" s="205">
        <v>173.40031480859119</v>
      </c>
      <c r="G70" s="205">
        <v>186.51696804323396</v>
      </c>
      <c r="H70" s="205">
        <v>199.63362127787678</v>
      </c>
      <c r="I70" s="205">
        <v>212.7502745125195</v>
      </c>
      <c r="J70" s="205">
        <v>225.86692774716232</v>
      </c>
      <c r="K70" s="205">
        <v>238.98358098180503</v>
      </c>
      <c r="L70" s="205">
        <v>252.10023421644786</v>
      </c>
      <c r="M70" s="205">
        <v>265.2168874510906</v>
      </c>
      <c r="N70" s="205">
        <v>278.3335406857334</v>
      </c>
      <c r="O70" s="206">
        <v>291.45019392037619</v>
      </c>
      <c r="P70" s="206">
        <v>304.56684715501893</v>
      </c>
      <c r="Q70" s="206">
        <v>317.68350038966173</v>
      </c>
      <c r="R70" s="206">
        <v>330.80015362430453</v>
      </c>
      <c r="S70" s="206">
        <v>343.91680685894727</v>
      </c>
      <c r="T70" s="206">
        <v>357.03346009359007</v>
      </c>
      <c r="U70" s="215" t="s">
        <v>7</v>
      </c>
      <c r="V70" s="215" t="s">
        <v>7</v>
      </c>
      <c r="W70" s="216" t="s">
        <v>7</v>
      </c>
      <c r="X70" s="217" t="s">
        <v>7</v>
      </c>
    </row>
    <row r="71" spans="2:24" s="144" customFormat="1" ht="15.45" x14ac:dyDescent="0.4">
      <c r="B71" s="82">
        <v>1500</v>
      </c>
      <c r="C71" s="204">
        <v>140.16091401208774</v>
      </c>
      <c r="D71" s="205">
        <v>153.77402009787008</v>
      </c>
      <c r="E71" s="205">
        <v>167.38712618365241</v>
      </c>
      <c r="F71" s="205">
        <v>181.00023226943475</v>
      </c>
      <c r="G71" s="205">
        <v>194.61333835521702</v>
      </c>
      <c r="H71" s="205">
        <v>208.22644444099942</v>
      </c>
      <c r="I71" s="205">
        <v>221.83955052678172</v>
      </c>
      <c r="J71" s="205">
        <v>235.45265661256403</v>
      </c>
      <c r="K71" s="205">
        <v>249.06576269834636</v>
      </c>
      <c r="L71" s="205">
        <v>262.67886878412867</v>
      </c>
      <c r="M71" s="205">
        <v>276.29197486991109</v>
      </c>
      <c r="N71" s="205">
        <v>289.90508095569345</v>
      </c>
      <c r="O71" s="206">
        <v>303.5181870414757</v>
      </c>
      <c r="P71" s="206">
        <v>317.13129312725795</v>
      </c>
      <c r="Q71" s="206">
        <v>330.74439921304037</v>
      </c>
      <c r="R71" s="206">
        <v>344.35750529882267</v>
      </c>
      <c r="S71" s="206">
        <v>357.97061138460498</v>
      </c>
      <c r="T71" s="206">
        <v>371.58371747038734</v>
      </c>
      <c r="U71" s="215" t="s">
        <v>7</v>
      </c>
      <c r="V71" s="215" t="s">
        <v>7</v>
      </c>
      <c r="W71" s="216" t="s">
        <v>7</v>
      </c>
      <c r="X71" s="217" t="s">
        <v>7</v>
      </c>
    </row>
    <row r="72" spans="2:24" s="144" customFormat="1" ht="15" customHeight="1" x14ac:dyDescent="0.4">
      <c r="B72" s="82">
        <v>1650</v>
      </c>
      <c r="C72" s="204">
        <v>146.27147291951258</v>
      </c>
      <c r="D72" s="205">
        <v>160.38103185643445</v>
      </c>
      <c r="E72" s="205">
        <v>174.49059079335635</v>
      </c>
      <c r="F72" s="205">
        <v>188.6001497302783</v>
      </c>
      <c r="G72" s="205">
        <v>202.70970866720012</v>
      </c>
      <c r="H72" s="205">
        <v>216.81926760412207</v>
      </c>
      <c r="I72" s="205">
        <v>230.92882654104392</v>
      </c>
      <c r="J72" s="205">
        <v>245.03838547796582</v>
      </c>
      <c r="K72" s="205">
        <v>259.14794441488766</v>
      </c>
      <c r="L72" s="205">
        <v>273.25750335180953</v>
      </c>
      <c r="M72" s="205">
        <v>287.36706228873146</v>
      </c>
      <c r="N72" s="205">
        <v>301.47662122565333</v>
      </c>
      <c r="O72" s="206">
        <v>315.58618016257526</v>
      </c>
      <c r="P72" s="206">
        <v>329.69573909949708</v>
      </c>
      <c r="Q72" s="206">
        <v>343.805298036419</v>
      </c>
      <c r="R72" s="206">
        <v>357.91485697334087</v>
      </c>
      <c r="S72" s="206">
        <v>372.0244159102628</v>
      </c>
      <c r="T72" s="206">
        <v>386.13397484718473</v>
      </c>
      <c r="U72" s="215" t="s">
        <v>7</v>
      </c>
      <c r="V72" s="215" t="s">
        <v>7</v>
      </c>
      <c r="W72" s="216" t="s">
        <v>7</v>
      </c>
      <c r="X72" s="217" t="s">
        <v>7</v>
      </c>
    </row>
    <row r="73" spans="2:24" s="144" customFormat="1" ht="15" customHeight="1" x14ac:dyDescent="0.4">
      <c r="B73" s="82">
        <v>1800</v>
      </c>
      <c r="C73" s="204">
        <v>152.38203182693744</v>
      </c>
      <c r="D73" s="205">
        <v>166.9880436149989</v>
      </c>
      <c r="E73" s="205">
        <v>181.59405540306034</v>
      </c>
      <c r="F73" s="205">
        <v>196.20006719112175</v>
      </c>
      <c r="G73" s="205">
        <v>210.80607897918321</v>
      </c>
      <c r="H73" s="205">
        <v>225.41209076724473</v>
      </c>
      <c r="I73" s="205">
        <v>240.01810255530614</v>
      </c>
      <c r="J73" s="205">
        <v>254.62411434336758</v>
      </c>
      <c r="K73" s="205">
        <v>269.23012613142896</v>
      </c>
      <c r="L73" s="205">
        <v>283.83613791949045</v>
      </c>
      <c r="M73" s="205">
        <v>298.44214970755189</v>
      </c>
      <c r="N73" s="205">
        <v>313.04816149561333</v>
      </c>
      <c r="O73" s="206">
        <v>327.65417328367477</v>
      </c>
      <c r="P73" s="206">
        <v>342.2601850717362</v>
      </c>
      <c r="Q73" s="206">
        <v>356.8661968597977</v>
      </c>
      <c r="R73" s="206">
        <v>371.47220864785913</v>
      </c>
      <c r="S73" s="206">
        <v>386.07822043592057</v>
      </c>
      <c r="T73" s="206">
        <v>400.68423222398201</v>
      </c>
      <c r="U73" s="215" t="s">
        <v>7</v>
      </c>
      <c r="V73" s="215" t="s">
        <v>7</v>
      </c>
      <c r="W73" s="216" t="s">
        <v>7</v>
      </c>
      <c r="X73" s="217" t="s">
        <v>7</v>
      </c>
    </row>
    <row r="74" spans="2:24" s="144" customFormat="1" ht="15" customHeight="1" x14ac:dyDescent="0.4">
      <c r="B74" s="82">
        <v>1950</v>
      </c>
      <c r="C74" s="204">
        <v>158.4925907343623</v>
      </c>
      <c r="D74" s="205">
        <v>173.59505537356327</v>
      </c>
      <c r="E74" s="205">
        <v>188.69752001276433</v>
      </c>
      <c r="F74" s="205">
        <v>203.79998465196527</v>
      </c>
      <c r="G74" s="205">
        <v>218.90244929116636</v>
      </c>
      <c r="H74" s="205">
        <v>234.00491393036731</v>
      </c>
      <c r="I74" s="205">
        <v>249.10737856956831</v>
      </c>
      <c r="J74" s="205">
        <v>264.20984320876931</v>
      </c>
      <c r="K74" s="205">
        <v>279.31230784797032</v>
      </c>
      <c r="L74" s="205">
        <v>294.41477248717138</v>
      </c>
      <c r="M74" s="205">
        <v>309.51723712637227</v>
      </c>
      <c r="N74" s="205">
        <v>324.61970176557332</v>
      </c>
      <c r="O74" s="206">
        <v>339.72216640477438</v>
      </c>
      <c r="P74" s="206">
        <v>354.82463104397527</v>
      </c>
      <c r="Q74" s="206">
        <v>369.92709568317628</v>
      </c>
      <c r="R74" s="206">
        <v>385.02956032237734</v>
      </c>
      <c r="S74" s="206">
        <v>400.13202496157834</v>
      </c>
      <c r="T74" s="206">
        <v>415.23448960077945</v>
      </c>
      <c r="U74" s="215" t="s">
        <v>7</v>
      </c>
      <c r="V74" s="215" t="s">
        <v>7</v>
      </c>
      <c r="W74" s="216" t="s">
        <v>7</v>
      </c>
      <c r="X74" s="217" t="s">
        <v>7</v>
      </c>
    </row>
    <row r="75" spans="2:24" s="144" customFormat="1" ht="15" customHeight="1" x14ac:dyDescent="0.4">
      <c r="B75" s="82">
        <v>2100</v>
      </c>
      <c r="C75" s="204">
        <v>164.60314964178713</v>
      </c>
      <c r="D75" s="205">
        <v>180.2020671321277</v>
      </c>
      <c r="E75" s="205">
        <v>195.80098462246823</v>
      </c>
      <c r="F75" s="205">
        <v>211.39990211280877</v>
      </c>
      <c r="G75" s="205">
        <v>226.99881960314934</v>
      </c>
      <c r="H75" s="205">
        <v>242.59773709348994</v>
      </c>
      <c r="I75" s="205">
        <v>258.19665458383048</v>
      </c>
      <c r="J75" s="205">
        <v>273.79557207417105</v>
      </c>
      <c r="K75" s="205">
        <v>289.39448956451162</v>
      </c>
      <c r="L75" s="205">
        <v>304.99340705485213</v>
      </c>
      <c r="M75" s="205">
        <v>320.59232454519275</v>
      </c>
      <c r="N75" s="205">
        <v>336.19124203553332</v>
      </c>
      <c r="O75" s="206">
        <v>351.79015952587383</v>
      </c>
      <c r="P75" s="206">
        <v>367.38907701621446</v>
      </c>
      <c r="Q75" s="206">
        <v>382.98799450655503</v>
      </c>
      <c r="R75" s="206">
        <v>398.58691199689554</v>
      </c>
      <c r="S75" s="206">
        <v>414.18582948723616</v>
      </c>
      <c r="T75" s="206">
        <v>429.78474697757667</v>
      </c>
      <c r="U75" s="215" t="s">
        <v>7</v>
      </c>
      <c r="V75" s="215" t="s">
        <v>7</v>
      </c>
      <c r="W75" s="216" t="s">
        <v>7</v>
      </c>
      <c r="X75" s="217" t="s">
        <v>7</v>
      </c>
    </row>
    <row r="76" spans="2:24" s="144" customFormat="1" ht="15" customHeight="1" x14ac:dyDescent="0.4">
      <c r="B76" s="82">
        <v>2250</v>
      </c>
      <c r="C76" s="204">
        <v>170.71370854921199</v>
      </c>
      <c r="D76" s="205">
        <v>186.80907889069206</v>
      </c>
      <c r="E76" s="205">
        <v>202.90444923217225</v>
      </c>
      <c r="F76" s="205">
        <v>218.99981957365236</v>
      </c>
      <c r="G76" s="205">
        <v>235.09518991513249</v>
      </c>
      <c r="H76" s="205">
        <v>251.19056025661263</v>
      </c>
      <c r="I76" s="205">
        <v>267.28593059809265</v>
      </c>
      <c r="J76" s="205">
        <v>283.38130093957284</v>
      </c>
      <c r="K76" s="205">
        <v>299.47667128105292</v>
      </c>
      <c r="L76" s="205">
        <v>315.57204162253305</v>
      </c>
      <c r="M76" s="205">
        <v>331.66741196401318</v>
      </c>
      <c r="N76" s="205">
        <v>347.76278230549332</v>
      </c>
      <c r="O76" s="206">
        <v>363.85815264697339</v>
      </c>
      <c r="P76" s="206">
        <v>379.95352298845347</v>
      </c>
      <c r="Q76" s="206">
        <v>396.04889332993361</v>
      </c>
      <c r="R76" s="206">
        <v>412.14426367141374</v>
      </c>
      <c r="S76" s="206">
        <v>428.23963401289387</v>
      </c>
      <c r="T76" s="206">
        <v>444.33500435437401</v>
      </c>
      <c r="U76" s="215" t="s">
        <v>7</v>
      </c>
      <c r="V76" s="215" t="s">
        <v>7</v>
      </c>
      <c r="W76" s="216" t="s">
        <v>7</v>
      </c>
      <c r="X76" s="217" t="s">
        <v>7</v>
      </c>
    </row>
    <row r="77" spans="2:24" s="144" customFormat="1" ht="15" customHeight="1" x14ac:dyDescent="0.4">
      <c r="B77" s="82">
        <v>2400</v>
      </c>
      <c r="C77" s="204">
        <v>176.82426745663679</v>
      </c>
      <c r="D77" s="205">
        <v>193.41609064925655</v>
      </c>
      <c r="E77" s="205">
        <v>210.00791384187616</v>
      </c>
      <c r="F77" s="205">
        <v>226.59973703449589</v>
      </c>
      <c r="G77" s="205">
        <v>243.19156022711559</v>
      </c>
      <c r="H77" s="205">
        <v>259.78338341973523</v>
      </c>
      <c r="I77" s="205">
        <v>276.37520661235487</v>
      </c>
      <c r="J77" s="205">
        <v>292.96702980497463</v>
      </c>
      <c r="K77" s="205">
        <v>309.55885299759422</v>
      </c>
      <c r="L77" s="205">
        <v>326.15067619021397</v>
      </c>
      <c r="M77" s="205">
        <v>342.74249938283367</v>
      </c>
      <c r="N77" s="205">
        <v>359.33432257545331</v>
      </c>
      <c r="O77" s="206">
        <v>375.92614576807296</v>
      </c>
      <c r="P77" s="206">
        <v>392.51796896069266</v>
      </c>
      <c r="Q77" s="206">
        <v>409.1097921533123</v>
      </c>
      <c r="R77" s="206">
        <v>425.701615345932</v>
      </c>
      <c r="S77" s="206">
        <v>442.2934385385517</v>
      </c>
      <c r="T77" s="206">
        <v>458.88526173117134</v>
      </c>
      <c r="U77" s="215" t="s">
        <v>7</v>
      </c>
      <c r="V77" s="215" t="s">
        <v>7</v>
      </c>
      <c r="W77" s="216" t="s">
        <v>7</v>
      </c>
      <c r="X77" s="217" t="s">
        <v>7</v>
      </c>
    </row>
    <row r="78" spans="2:24" s="144" customFormat="1" ht="15" customHeight="1" x14ac:dyDescent="0.4">
      <c r="B78" s="82">
        <v>2550</v>
      </c>
      <c r="C78" s="204">
        <v>182.93482636406168</v>
      </c>
      <c r="D78" s="205">
        <v>200.02310240782091</v>
      </c>
      <c r="E78" s="205">
        <v>217.11137845158018</v>
      </c>
      <c r="F78" s="205">
        <v>234.19965449533939</v>
      </c>
      <c r="G78" s="205">
        <v>251.28793053909862</v>
      </c>
      <c r="H78" s="205">
        <v>268.37620658285789</v>
      </c>
      <c r="I78" s="205">
        <v>285.4644826266171</v>
      </c>
      <c r="J78" s="205">
        <v>302.55275867037636</v>
      </c>
      <c r="K78" s="205">
        <v>319.64103471413557</v>
      </c>
      <c r="L78" s="205">
        <v>336.72931075789484</v>
      </c>
      <c r="M78" s="205">
        <v>353.81758680165399</v>
      </c>
      <c r="N78" s="205">
        <v>370.90586284541325</v>
      </c>
      <c r="O78" s="206">
        <v>387.99413888917252</v>
      </c>
      <c r="P78" s="206">
        <v>405.08241493293173</v>
      </c>
      <c r="Q78" s="206">
        <v>422.17069097669093</v>
      </c>
      <c r="R78" s="206">
        <v>439.25896702045026</v>
      </c>
      <c r="S78" s="206">
        <v>456.34724306420941</v>
      </c>
      <c r="T78" s="206">
        <v>473.43551910796856</v>
      </c>
      <c r="U78" s="215" t="s">
        <v>7</v>
      </c>
      <c r="V78" s="215" t="s">
        <v>7</v>
      </c>
      <c r="W78" s="216" t="s">
        <v>7</v>
      </c>
      <c r="X78" s="217" t="s">
        <v>7</v>
      </c>
    </row>
    <row r="79" spans="2:24" s="144" customFormat="1" ht="15" customHeight="1" x14ac:dyDescent="0.4">
      <c r="B79" s="82">
        <v>2700</v>
      </c>
      <c r="C79" s="204">
        <v>189.04538527148651</v>
      </c>
      <c r="D79" s="205">
        <v>206.63011416638531</v>
      </c>
      <c r="E79" s="205">
        <v>224.21484306128411</v>
      </c>
      <c r="F79" s="205">
        <v>241.79957195618294</v>
      </c>
      <c r="G79" s="205">
        <v>259.38430085108172</v>
      </c>
      <c r="H79" s="205">
        <v>276.96902974598049</v>
      </c>
      <c r="I79" s="205">
        <v>294.55375864087932</v>
      </c>
      <c r="J79" s="205">
        <v>312.1384875357781</v>
      </c>
      <c r="K79" s="205">
        <v>329.72321643067687</v>
      </c>
      <c r="L79" s="205">
        <v>347.30794532557564</v>
      </c>
      <c r="M79" s="205">
        <v>364.89267422047448</v>
      </c>
      <c r="N79" s="205">
        <v>382.47740311537325</v>
      </c>
      <c r="O79" s="206">
        <v>400.06213201027208</v>
      </c>
      <c r="P79" s="206">
        <v>417.64686090517085</v>
      </c>
      <c r="Q79" s="206">
        <v>435.23158980006968</v>
      </c>
      <c r="R79" s="206">
        <v>452.81631869496846</v>
      </c>
      <c r="S79" s="206">
        <v>470.40104758986729</v>
      </c>
      <c r="T79" s="206">
        <v>487.98577648476601</v>
      </c>
      <c r="U79" s="215" t="s">
        <v>7</v>
      </c>
      <c r="V79" s="215" t="s">
        <v>7</v>
      </c>
      <c r="W79" s="216" t="s">
        <v>7</v>
      </c>
      <c r="X79" s="217" t="s">
        <v>7</v>
      </c>
    </row>
    <row r="80" spans="2:24" s="144" customFormat="1" ht="15" customHeight="1" x14ac:dyDescent="0.4">
      <c r="B80" s="82">
        <v>2850</v>
      </c>
      <c r="C80" s="204">
        <v>195.15594417891137</v>
      </c>
      <c r="D80" s="205">
        <v>213.23712592494977</v>
      </c>
      <c r="E80" s="205">
        <v>231.3183076709881</v>
      </c>
      <c r="F80" s="205">
        <v>249.39948941702642</v>
      </c>
      <c r="G80" s="205">
        <v>267.48067116306481</v>
      </c>
      <c r="H80" s="205">
        <v>285.56185290910315</v>
      </c>
      <c r="I80" s="205">
        <v>303.64303465514149</v>
      </c>
      <c r="J80" s="205">
        <v>321.72421640117983</v>
      </c>
      <c r="K80" s="205">
        <v>339.80539814721823</v>
      </c>
      <c r="L80" s="205">
        <v>357.88657989325657</v>
      </c>
      <c r="M80" s="205">
        <v>375.96776163929485</v>
      </c>
      <c r="N80" s="205">
        <v>394.04894338533325</v>
      </c>
      <c r="O80" s="206">
        <v>412.13012513137153</v>
      </c>
      <c r="P80" s="206">
        <v>430.21130687740998</v>
      </c>
      <c r="Q80" s="206">
        <v>448.29248862344826</v>
      </c>
      <c r="R80" s="206">
        <v>466.37367036948655</v>
      </c>
      <c r="S80" s="206">
        <v>484.45485211552494</v>
      </c>
      <c r="T80" s="206">
        <v>502.53603386156334</v>
      </c>
      <c r="U80" s="215" t="s">
        <v>7</v>
      </c>
      <c r="V80" s="215" t="s">
        <v>7</v>
      </c>
      <c r="W80" s="216" t="s">
        <v>7</v>
      </c>
      <c r="X80" s="217" t="s">
        <v>7</v>
      </c>
    </row>
    <row r="81" spans="1:24" s="144" customFormat="1" ht="15" customHeight="1" x14ac:dyDescent="0.4">
      <c r="B81" s="84">
        <v>3000</v>
      </c>
      <c r="C81" s="218">
        <v>201.26650308633626</v>
      </c>
      <c r="D81" s="219">
        <v>219.84413768351413</v>
      </c>
      <c r="E81" s="219">
        <v>238.42177228069207</v>
      </c>
      <c r="F81" s="219">
        <v>256.99940687786994</v>
      </c>
      <c r="G81" s="219">
        <v>275.57704147504785</v>
      </c>
      <c r="H81" s="219">
        <v>294.15467607222575</v>
      </c>
      <c r="I81" s="219">
        <v>312.73231066940366</v>
      </c>
      <c r="J81" s="219">
        <v>331.30994526658156</v>
      </c>
      <c r="K81" s="219">
        <v>349.88757986375947</v>
      </c>
      <c r="L81" s="219">
        <v>368.46521446093737</v>
      </c>
      <c r="M81" s="219">
        <v>387.04284905811534</v>
      </c>
      <c r="N81" s="219">
        <v>405.6204836552933</v>
      </c>
      <c r="O81" s="220">
        <v>424.19811825247109</v>
      </c>
      <c r="P81" s="220">
        <v>442.77575284964917</v>
      </c>
      <c r="Q81" s="220">
        <v>461.35338744682696</v>
      </c>
      <c r="R81" s="220">
        <v>479.93102204400481</v>
      </c>
      <c r="S81" s="220">
        <v>498.50865664118277</v>
      </c>
      <c r="T81" s="220">
        <v>517.08629123836067</v>
      </c>
      <c r="U81" s="221" t="s">
        <v>7</v>
      </c>
      <c r="V81" s="221" t="s">
        <v>7</v>
      </c>
      <c r="W81" s="222" t="s">
        <v>7</v>
      </c>
      <c r="X81" s="223" t="s">
        <v>7</v>
      </c>
    </row>
    <row r="82" spans="1:24" s="151" customFormat="1" ht="18.75" customHeight="1" thickBot="1" x14ac:dyDescent="0.45">
      <c r="B82" s="224" t="s">
        <v>31</v>
      </c>
      <c r="C82" s="225">
        <v>13.389197294910959</v>
      </c>
      <c r="D82" s="225">
        <v>14.544996054651593</v>
      </c>
      <c r="E82" s="225">
        <v>15.700794814392196</v>
      </c>
      <c r="F82" s="225">
        <v>16.856593574132816</v>
      </c>
      <c r="G82" s="225">
        <v>18.012392333873454</v>
      </c>
      <c r="H82" s="225">
        <v>19.168191093614059</v>
      </c>
      <c r="I82" s="225">
        <v>20.323989853354693</v>
      </c>
      <c r="J82" s="225">
        <v>21.479788613095298</v>
      </c>
      <c r="K82" s="225">
        <v>22.635587372835904</v>
      </c>
      <c r="L82" s="225">
        <v>23.791386132576569</v>
      </c>
      <c r="M82" s="225">
        <v>24.947184892317143</v>
      </c>
      <c r="N82" s="225">
        <v>26.10298365205778</v>
      </c>
      <c r="O82" s="225">
        <v>27.258782411798446</v>
      </c>
      <c r="P82" s="225">
        <v>28.414581171539115</v>
      </c>
      <c r="Q82" s="225">
        <v>29.570379931279685</v>
      </c>
      <c r="R82" s="225">
        <v>30.726178691020323</v>
      </c>
      <c r="S82" s="225">
        <v>31.881977450760893</v>
      </c>
      <c r="T82" s="225">
        <v>33.037776210501534</v>
      </c>
      <c r="U82" s="226" t="s">
        <v>7</v>
      </c>
      <c r="V82" s="226" t="s">
        <v>7</v>
      </c>
      <c r="W82" s="226" t="s">
        <v>7</v>
      </c>
      <c r="X82" s="227" t="s">
        <v>7</v>
      </c>
    </row>
    <row r="83" spans="1:24" s="151" customFormat="1" ht="23.15" x14ac:dyDescent="0.6">
      <c r="B83" s="152" t="s">
        <v>25</v>
      </c>
      <c r="C83" s="153"/>
      <c r="D83" s="153"/>
      <c r="F83" s="153"/>
      <c r="P83" s="150"/>
      <c r="Q83" s="150"/>
      <c r="R83" s="150"/>
      <c r="S83" s="150"/>
      <c r="T83" s="150"/>
      <c r="U83" s="150"/>
      <c r="V83" s="150"/>
      <c r="W83" s="150"/>
      <c r="X83" s="150"/>
    </row>
    <row r="84" spans="1:24" s="151" customFormat="1" ht="23.15" x14ac:dyDescent="0.6">
      <c r="B84" s="152" t="s">
        <v>35</v>
      </c>
      <c r="C84" s="153"/>
      <c r="D84" s="153"/>
      <c r="F84" s="153"/>
      <c r="P84" s="150"/>
      <c r="Q84" s="150"/>
      <c r="R84" s="150"/>
      <c r="S84" s="150"/>
      <c r="T84" s="150"/>
      <c r="U84" s="150"/>
      <c r="V84" s="150"/>
      <c r="W84" s="150"/>
      <c r="X84" s="150"/>
    </row>
    <row r="85" spans="1:24" s="151" customFormat="1" ht="23.15" x14ac:dyDescent="0.6">
      <c r="B85" s="228"/>
      <c r="C85" s="153"/>
      <c r="D85" s="153"/>
      <c r="F85" s="153"/>
      <c r="P85" s="150"/>
      <c r="Q85" s="150"/>
      <c r="R85" s="150"/>
      <c r="S85" s="150"/>
      <c r="T85" s="150"/>
      <c r="U85" s="150"/>
      <c r="V85" s="150"/>
      <c r="W85" s="150"/>
      <c r="X85" s="150"/>
    </row>
    <row r="86" spans="1:24" x14ac:dyDescent="0.4">
      <c r="A86" s="144"/>
      <c r="B86" s="150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0"/>
      <c r="Q86" s="150"/>
      <c r="R86" s="150"/>
      <c r="S86" s="150"/>
      <c r="T86" s="150"/>
      <c r="U86" s="150"/>
      <c r="V86" s="150"/>
      <c r="W86" s="150"/>
      <c r="X86" s="150"/>
    </row>
    <row r="87" spans="1:24" x14ac:dyDescent="0.4">
      <c r="A87" s="144"/>
      <c r="B87" s="150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0"/>
      <c r="Q87" s="150"/>
      <c r="R87" s="150"/>
      <c r="S87" s="150"/>
      <c r="T87" s="150"/>
      <c r="U87" s="150"/>
      <c r="V87" s="150"/>
      <c r="W87" s="150"/>
      <c r="X87" s="150"/>
    </row>
  </sheetData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AH240"/>
  <sheetViews>
    <sheetView showGridLines="0" zoomScale="70" zoomScaleNormal="70" workbookViewId="0">
      <pane ySplit="8" topLeftCell="A9" activePane="bottomLeft" state="frozen"/>
      <selection activeCell="J70" sqref="J70"/>
      <selection pane="bottomLeft" activeCell="J70" sqref="J70"/>
    </sheetView>
  </sheetViews>
  <sheetFormatPr defaultColWidth="9.23046875" defaultRowHeight="14.6" x14ac:dyDescent="0.4"/>
  <cols>
    <col min="1" max="1" width="9.23046875" style="109" customWidth="1"/>
    <col min="2" max="2" width="14.69140625" style="107" customWidth="1"/>
    <col min="3" max="24" width="7" style="107" customWidth="1"/>
    <col min="25" max="34" width="6.84375" style="108" customWidth="1"/>
    <col min="35" max="16384" width="9.23046875" style="109"/>
  </cols>
  <sheetData>
    <row r="1" spans="2:34" s="106" customFormat="1" ht="45.45" x14ac:dyDescent="1.05">
      <c r="B1" s="5" t="s">
        <v>13</v>
      </c>
      <c r="C1" s="98"/>
      <c r="D1" s="98"/>
      <c r="E1" s="98"/>
      <c r="F1" s="98"/>
      <c r="G1" s="98"/>
      <c r="H1" s="99"/>
      <c r="I1" s="100"/>
      <c r="J1" s="101"/>
      <c r="K1" s="99"/>
      <c r="L1" s="102"/>
      <c r="M1" s="103"/>
      <c r="N1" s="104"/>
      <c r="O1" s="99"/>
      <c r="P1" s="99"/>
      <c r="Q1" s="99"/>
      <c r="R1" s="99"/>
      <c r="S1" s="99"/>
      <c r="T1" s="99"/>
      <c r="U1" s="99"/>
      <c r="V1" s="99"/>
      <c r="W1" s="99"/>
      <c r="X1" s="99"/>
      <c r="Y1" s="105"/>
      <c r="Z1" s="105"/>
      <c r="AA1" s="105"/>
      <c r="AB1" s="105"/>
      <c r="AC1" s="105"/>
      <c r="AD1" s="105"/>
      <c r="AE1" s="105"/>
      <c r="AF1" s="105"/>
      <c r="AG1" s="105"/>
      <c r="AH1" s="105"/>
    </row>
    <row r="3" spans="2:34" s="184" customFormat="1" ht="15" thickBot="1" x14ac:dyDescent="0.45">
      <c r="B3" s="293" t="s">
        <v>59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60"/>
      <c r="Z3" s="160"/>
      <c r="AA3" s="160"/>
      <c r="AB3" s="160"/>
      <c r="AC3" s="160"/>
      <c r="AD3" s="160"/>
      <c r="AE3" s="160"/>
      <c r="AF3" s="160"/>
      <c r="AG3" s="160"/>
      <c r="AH3" s="160"/>
    </row>
    <row r="4" spans="2:34" x14ac:dyDescent="0.4">
      <c r="B4" s="110"/>
      <c r="C4" s="111"/>
      <c r="D4" s="112"/>
      <c r="E4" s="112"/>
      <c r="F4" s="112"/>
      <c r="G4" s="113"/>
      <c r="H4" s="112"/>
      <c r="I4" s="112"/>
      <c r="J4" s="113"/>
      <c r="K4" s="113"/>
      <c r="L4" s="114"/>
      <c r="M4" s="113"/>
      <c r="N4" s="113"/>
      <c r="O4" s="113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6"/>
    </row>
    <row r="5" spans="2:34" ht="30" x14ac:dyDescent="0.4">
      <c r="B5" s="117"/>
      <c r="C5" s="118" t="s">
        <v>36</v>
      </c>
      <c r="D5" s="119"/>
      <c r="E5" s="119"/>
      <c r="F5" s="119"/>
      <c r="G5" s="120"/>
      <c r="H5" s="119"/>
      <c r="I5" s="119"/>
      <c r="J5" s="120"/>
      <c r="K5" s="120"/>
      <c r="L5" s="121"/>
      <c r="M5" s="120"/>
      <c r="O5" s="120"/>
      <c r="S5" s="118"/>
      <c r="Y5" s="107"/>
      <c r="Z5" s="107"/>
      <c r="AA5" s="107"/>
      <c r="AB5" s="107"/>
      <c r="AC5" s="107"/>
      <c r="AD5" s="107"/>
      <c r="AE5" s="107"/>
      <c r="AF5" s="118" t="s">
        <v>6</v>
      </c>
      <c r="AG5" s="107"/>
      <c r="AH5" s="122"/>
    </row>
    <row r="6" spans="2:34" ht="15" x14ac:dyDescent="0.4">
      <c r="B6" s="117"/>
      <c r="C6" s="154"/>
      <c r="D6" s="119"/>
      <c r="E6" s="119"/>
      <c r="F6" s="119"/>
      <c r="G6" s="120"/>
      <c r="H6" s="119"/>
      <c r="I6" s="119"/>
      <c r="J6" s="120"/>
      <c r="K6" s="120"/>
      <c r="L6" s="121"/>
      <c r="M6" s="120"/>
      <c r="N6" s="120"/>
      <c r="O6" s="120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55"/>
    </row>
    <row r="7" spans="2:34" x14ac:dyDescent="0.4">
      <c r="B7" s="117"/>
      <c r="C7" s="156"/>
      <c r="D7" s="119"/>
      <c r="E7" s="119"/>
      <c r="F7" s="119"/>
      <c r="G7" s="119"/>
      <c r="H7" s="119"/>
      <c r="I7" s="119"/>
      <c r="J7" s="119"/>
      <c r="K7" s="119"/>
      <c r="L7" s="123"/>
      <c r="M7" s="120"/>
      <c r="N7" s="120"/>
      <c r="O7" s="120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55"/>
    </row>
    <row r="8" spans="2:34" ht="15" thickBot="1" x14ac:dyDescent="0.45">
      <c r="B8" s="124"/>
      <c r="C8" s="157"/>
      <c r="D8" s="125"/>
      <c r="E8" s="125"/>
      <c r="F8" s="125"/>
      <c r="G8" s="125"/>
      <c r="H8" s="125"/>
      <c r="I8" s="125"/>
      <c r="J8" s="125"/>
      <c r="K8" s="125"/>
      <c r="L8" s="125"/>
      <c r="M8" s="126"/>
      <c r="N8" s="125"/>
      <c r="O8" s="125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9"/>
    </row>
    <row r="9" spans="2:34" x14ac:dyDescent="0.4"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60"/>
      <c r="Z9" s="160"/>
      <c r="AA9" s="160"/>
      <c r="AB9" s="160"/>
      <c r="AC9" s="160"/>
      <c r="AD9" s="160"/>
      <c r="AE9" s="160"/>
      <c r="AF9" s="160"/>
      <c r="AG9" s="160"/>
      <c r="AH9" s="160"/>
    </row>
    <row r="10" spans="2:34" s="127" customFormat="1" ht="45.9" thickBot="1" x14ac:dyDescent="1.1000000000000001">
      <c r="B10" s="161" t="s">
        <v>37</v>
      </c>
      <c r="C10" s="161"/>
      <c r="D10" s="129"/>
      <c r="E10" s="129"/>
      <c r="F10" s="129"/>
      <c r="G10" s="129"/>
      <c r="H10" s="98"/>
      <c r="I10" s="162"/>
      <c r="J10" s="162"/>
      <c r="K10" s="162"/>
      <c r="L10" s="129"/>
      <c r="M10" s="129"/>
      <c r="N10" s="163"/>
      <c r="O10" s="164"/>
      <c r="P10" s="129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</row>
    <row r="11" spans="2:34" s="184" customFormat="1" ht="15.9" thickBot="1" x14ac:dyDescent="0.45">
      <c r="B11" s="165"/>
      <c r="C11" s="166">
        <v>800</v>
      </c>
      <c r="D11" s="136">
        <v>900</v>
      </c>
      <c r="E11" s="136">
        <v>1050</v>
      </c>
      <c r="F11" s="135">
        <v>1200</v>
      </c>
      <c r="G11" s="136">
        <v>1350</v>
      </c>
      <c r="H11" s="135">
        <v>1500</v>
      </c>
      <c r="I11" s="136">
        <v>1650</v>
      </c>
      <c r="J11" s="135">
        <v>1800</v>
      </c>
      <c r="K11" s="136">
        <v>1950</v>
      </c>
      <c r="L11" s="135">
        <v>2100</v>
      </c>
      <c r="M11" s="136">
        <v>2250</v>
      </c>
      <c r="N11" s="135">
        <v>2400</v>
      </c>
      <c r="O11" s="136">
        <v>2550</v>
      </c>
      <c r="P11" s="135">
        <v>2700</v>
      </c>
      <c r="Q11" s="136">
        <v>2850</v>
      </c>
      <c r="R11" s="135">
        <v>3000</v>
      </c>
      <c r="S11" s="136">
        <v>3150</v>
      </c>
      <c r="T11" s="135">
        <v>3300</v>
      </c>
      <c r="U11" s="136">
        <v>3450</v>
      </c>
      <c r="V11" s="135">
        <v>3600</v>
      </c>
      <c r="W11" s="136">
        <v>3750</v>
      </c>
      <c r="X11" s="135">
        <v>3900</v>
      </c>
      <c r="Y11" s="136">
        <v>4050</v>
      </c>
      <c r="Z11" s="135">
        <v>4200</v>
      </c>
      <c r="AA11" s="136">
        <v>4350</v>
      </c>
      <c r="AB11" s="167">
        <v>4500</v>
      </c>
      <c r="AC11" s="168">
        <v>4650</v>
      </c>
      <c r="AD11" s="136">
        <v>4800</v>
      </c>
      <c r="AE11" s="136">
        <v>4950</v>
      </c>
      <c r="AF11" s="135">
        <v>5100</v>
      </c>
      <c r="AG11" s="136">
        <v>5250</v>
      </c>
      <c r="AH11" s="137">
        <v>5400</v>
      </c>
    </row>
    <row r="12" spans="2:34" s="184" customFormat="1" ht="15.75" customHeight="1" x14ac:dyDescent="0.4">
      <c r="B12" s="169">
        <v>900</v>
      </c>
      <c r="C12" s="257">
        <v>97.443964504437886</v>
      </c>
      <c r="D12" s="249">
        <v>105.23203515886352</v>
      </c>
      <c r="E12" s="249">
        <v>116.91414114050198</v>
      </c>
      <c r="F12" s="249">
        <v>129.29351098310681</v>
      </c>
      <c r="G12" s="249">
        <v>140.97561696474529</v>
      </c>
      <c r="H12" s="249">
        <v>152.6577229463837</v>
      </c>
      <c r="I12" s="249">
        <v>164.33982892802217</v>
      </c>
      <c r="J12" s="249">
        <v>176.02193490966062</v>
      </c>
      <c r="K12" s="249">
        <v>187.70404089129909</v>
      </c>
      <c r="L12" s="249">
        <v>199.3861468729375</v>
      </c>
      <c r="M12" s="249">
        <v>211.068252854576</v>
      </c>
      <c r="N12" s="249">
        <v>223.44762269718086</v>
      </c>
      <c r="O12" s="249">
        <v>235.1297286788193</v>
      </c>
      <c r="P12" s="250">
        <v>246.81183466045772</v>
      </c>
      <c r="Q12" s="250">
        <v>258.49394064209616</v>
      </c>
      <c r="R12" s="250">
        <v>270.17604662373463</v>
      </c>
      <c r="S12" s="250">
        <v>281.85815260537311</v>
      </c>
      <c r="T12" s="250">
        <v>293.54025858701158</v>
      </c>
      <c r="U12" s="250">
        <v>305.22236456865005</v>
      </c>
      <c r="V12" s="249">
        <v>317.60173441125482</v>
      </c>
      <c r="W12" s="249">
        <v>329.28384039289335</v>
      </c>
      <c r="X12" s="250">
        <v>340.96594637453171</v>
      </c>
      <c r="Y12" s="250">
        <v>352.64805235617018</v>
      </c>
      <c r="Z12" s="250">
        <v>364.3301583378086</v>
      </c>
      <c r="AA12" s="250">
        <v>376.01226431944718</v>
      </c>
      <c r="AB12" s="258">
        <v>387.69437030108554</v>
      </c>
      <c r="AC12" s="259" t="s">
        <v>7</v>
      </c>
      <c r="AD12" s="260" t="s">
        <v>7</v>
      </c>
      <c r="AE12" s="260" t="s">
        <v>7</v>
      </c>
      <c r="AF12" s="260" t="s">
        <v>7</v>
      </c>
      <c r="AG12" s="260" t="s">
        <v>7</v>
      </c>
      <c r="AH12" s="261" t="s">
        <v>7</v>
      </c>
    </row>
    <row r="13" spans="2:34" s="184" customFormat="1" ht="15.45" x14ac:dyDescent="0.4">
      <c r="B13" s="170">
        <v>1050</v>
      </c>
      <c r="C13" s="262">
        <v>100.81929987060713</v>
      </c>
      <c r="D13" s="252">
        <v>108.9529485530397</v>
      </c>
      <c r="E13" s="252">
        <v>121.15342157668854</v>
      </c>
      <c r="F13" s="252">
        <v>134.16736910479818</v>
      </c>
      <c r="G13" s="252">
        <v>146.36784212844702</v>
      </c>
      <c r="H13" s="252">
        <v>158.56831515209589</v>
      </c>
      <c r="I13" s="252">
        <v>170.76878817574476</v>
      </c>
      <c r="J13" s="252">
        <v>182.96926119939363</v>
      </c>
      <c r="K13" s="252">
        <v>195.16973422304247</v>
      </c>
      <c r="L13" s="252">
        <v>207.37020724669125</v>
      </c>
      <c r="M13" s="252">
        <v>219.57068027034015</v>
      </c>
      <c r="N13" s="252">
        <v>232.58462779844979</v>
      </c>
      <c r="O13" s="252">
        <v>244.78510082209868</v>
      </c>
      <c r="P13" s="253">
        <v>256.98557384574752</v>
      </c>
      <c r="Q13" s="253">
        <v>269.18604686939631</v>
      </c>
      <c r="R13" s="253">
        <v>281.38651989304515</v>
      </c>
      <c r="S13" s="253">
        <v>293.58699291669399</v>
      </c>
      <c r="T13" s="253">
        <v>305.78746594034288</v>
      </c>
      <c r="U13" s="253">
        <v>317.98793896399167</v>
      </c>
      <c r="V13" s="252">
        <v>331.00188649210133</v>
      </c>
      <c r="W13" s="252">
        <v>343.20235951575023</v>
      </c>
      <c r="X13" s="253">
        <v>355.40283253939901</v>
      </c>
      <c r="Y13" s="253">
        <v>367.60330556304785</v>
      </c>
      <c r="Z13" s="253">
        <v>379.80377858669675</v>
      </c>
      <c r="AA13" s="253">
        <v>392.00425161034565</v>
      </c>
      <c r="AB13" s="263">
        <v>404.20472463399437</v>
      </c>
      <c r="AC13" s="259" t="s">
        <v>7</v>
      </c>
      <c r="AD13" s="260" t="s">
        <v>7</v>
      </c>
      <c r="AE13" s="260" t="s">
        <v>7</v>
      </c>
      <c r="AF13" s="260" t="s">
        <v>7</v>
      </c>
      <c r="AG13" s="260" t="s">
        <v>7</v>
      </c>
      <c r="AH13" s="261" t="s">
        <v>7</v>
      </c>
    </row>
    <row r="14" spans="2:34" s="184" customFormat="1" ht="15.45" x14ac:dyDescent="0.4">
      <c r="B14" s="170">
        <v>1200</v>
      </c>
      <c r="C14" s="262">
        <v>104.19463523677636</v>
      </c>
      <c r="D14" s="252">
        <v>112.67386194721588</v>
      </c>
      <c r="E14" s="252">
        <v>125.39270201287512</v>
      </c>
      <c r="F14" s="252">
        <v>139.04122722648955</v>
      </c>
      <c r="G14" s="252">
        <v>151.76006729214882</v>
      </c>
      <c r="H14" s="252">
        <v>164.47890735780805</v>
      </c>
      <c r="I14" s="252">
        <v>177.19774742346729</v>
      </c>
      <c r="J14" s="252">
        <v>189.91658748912653</v>
      </c>
      <c r="K14" s="252">
        <v>202.63542755478579</v>
      </c>
      <c r="L14" s="252">
        <v>215.354267620445</v>
      </c>
      <c r="M14" s="252">
        <v>228.07310768610429</v>
      </c>
      <c r="N14" s="252">
        <v>241.72163289971874</v>
      </c>
      <c r="O14" s="252">
        <v>254.44047296537792</v>
      </c>
      <c r="P14" s="253">
        <v>267.15931303103719</v>
      </c>
      <c r="Q14" s="253">
        <v>279.87815309669645</v>
      </c>
      <c r="R14" s="253">
        <v>292.59699316235566</v>
      </c>
      <c r="S14" s="253">
        <v>305.31583322801492</v>
      </c>
      <c r="T14" s="253">
        <v>318.03467329367419</v>
      </c>
      <c r="U14" s="253">
        <v>330.7535133593334</v>
      </c>
      <c r="V14" s="252">
        <v>344.40203857294784</v>
      </c>
      <c r="W14" s="252">
        <v>357.12087863860711</v>
      </c>
      <c r="X14" s="253">
        <v>369.83971870426637</v>
      </c>
      <c r="Y14" s="253">
        <v>382.55855876992558</v>
      </c>
      <c r="Z14" s="253">
        <v>395.2773988355849</v>
      </c>
      <c r="AA14" s="253">
        <v>407.99623890124417</v>
      </c>
      <c r="AB14" s="263">
        <v>420.71507896690326</v>
      </c>
      <c r="AC14" s="259" t="s">
        <v>7</v>
      </c>
      <c r="AD14" s="260" t="s">
        <v>7</v>
      </c>
      <c r="AE14" s="260" t="s">
        <v>7</v>
      </c>
      <c r="AF14" s="260" t="s">
        <v>7</v>
      </c>
      <c r="AG14" s="260" t="s">
        <v>7</v>
      </c>
      <c r="AH14" s="261" t="s">
        <v>7</v>
      </c>
    </row>
    <row r="15" spans="2:34" s="184" customFormat="1" ht="15.45" x14ac:dyDescent="0.4">
      <c r="B15" s="170">
        <v>1350</v>
      </c>
      <c r="C15" s="262">
        <v>107.56997060294562</v>
      </c>
      <c r="D15" s="252">
        <v>116.39477534139202</v>
      </c>
      <c r="E15" s="252">
        <v>129.6319824490617</v>
      </c>
      <c r="F15" s="252">
        <v>143.91508534818095</v>
      </c>
      <c r="G15" s="252">
        <v>157.15229245585056</v>
      </c>
      <c r="H15" s="252">
        <v>170.38949956352022</v>
      </c>
      <c r="I15" s="252">
        <v>183.62670667118982</v>
      </c>
      <c r="J15" s="252">
        <v>196.86391377885946</v>
      </c>
      <c r="K15" s="252">
        <v>210.10112088652915</v>
      </c>
      <c r="L15" s="252">
        <v>223.33832799419875</v>
      </c>
      <c r="M15" s="252">
        <v>236.57553510186835</v>
      </c>
      <c r="N15" s="252">
        <v>250.85863800098764</v>
      </c>
      <c r="O15" s="252">
        <v>264.09584510865733</v>
      </c>
      <c r="P15" s="253">
        <v>277.33305221632691</v>
      </c>
      <c r="Q15" s="253">
        <v>290.57025932399659</v>
      </c>
      <c r="R15" s="253">
        <v>303.80746643166628</v>
      </c>
      <c r="S15" s="253">
        <v>317.04467353933586</v>
      </c>
      <c r="T15" s="253">
        <v>330.28188064700544</v>
      </c>
      <c r="U15" s="253">
        <v>343.51908775467518</v>
      </c>
      <c r="V15" s="252">
        <v>357.80219065379436</v>
      </c>
      <c r="W15" s="252">
        <v>371.03939776146404</v>
      </c>
      <c r="X15" s="253">
        <v>384.27660486913362</v>
      </c>
      <c r="Y15" s="253">
        <v>397.51381197680337</v>
      </c>
      <c r="Z15" s="253">
        <v>410.75101908447283</v>
      </c>
      <c r="AA15" s="253">
        <v>423.98822619214258</v>
      </c>
      <c r="AB15" s="263">
        <v>437.22543329981227</v>
      </c>
      <c r="AC15" s="259" t="s">
        <v>7</v>
      </c>
      <c r="AD15" s="260" t="s">
        <v>7</v>
      </c>
      <c r="AE15" s="260" t="s">
        <v>7</v>
      </c>
      <c r="AF15" s="260" t="s">
        <v>7</v>
      </c>
      <c r="AG15" s="260" t="s">
        <v>7</v>
      </c>
      <c r="AH15" s="261" t="s">
        <v>7</v>
      </c>
    </row>
    <row r="16" spans="2:34" s="184" customFormat="1" ht="15.45" x14ac:dyDescent="0.4">
      <c r="B16" s="170">
        <v>1500</v>
      </c>
      <c r="C16" s="262">
        <v>110.94530596911488</v>
      </c>
      <c r="D16" s="252">
        <v>120.11568873556821</v>
      </c>
      <c r="E16" s="252">
        <v>133.87126288524826</v>
      </c>
      <c r="F16" s="252">
        <v>148.78894346987229</v>
      </c>
      <c r="G16" s="252">
        <v>162.54451761955232</v>
      </c>
      <c r="H16" s="252">
        <v>176.30009176923238</v>
      </c>
      <c r="I16" s="252">
        <v>190.05566591891238</v>
      </c>
      <c r="J16" s="252">
        <v>203.8112400685925</v>
      </c>
      <c r="K16" s="252">
        <v>217.56681421827241</v>
      </c>
      <c r="L16" s="252">
        <v>231.32238836795253</v>
      </c>
      <c r="M16" s="252">
        <v>245.07796251763256</v>
      </c>
      <c r="N16" s="252">
        <v>259.99564310225662</v>
      </c>
      <c r="O16" s="252">
        <v>273.75121725193662</v>
      </c>
      <c r="P16" s="253">
        <v>287.50679140161662</v>
      </c>
      <c r="Q16" s="253">
        <v>301.26236555129663</v>
      </c>
      <c r="R16" s="253">
        <v>315.01793970097674</v>
      </c>
      <c r="S16" s="253">
        <v>328.77351385065668</v>
      </c>
      <c r="T16" s="253">
        <v>342.52908800033691</v>
      </c>
      <c r="U16" s="253">
        <v>356.28466215001686</v>
      </c>
      <c r="V16" s="252">
        <v>371.20234273464087</v>
      </c>
      <c r="W16" s="252">
        <v>384.95791688432092</v>
      </c>
      <c r="X16" s="253">
        <v>398.71349103400098</v>
      </c>
      <c r="Y16" s="253">
        <v>412.46906518368104</v>
      </c>
      <c r="Z16" s="253">
        <v>426.22463933336104</v>
      </c>
      <c r="AA16" s="253">
        <v>439.98021348304104</v>
      </c>
      <c r="AB16" s="263">
        <v>453.73578763272104</v>
      </c>
      <c r="AC16" s="259" t="s">
        <v>7</v>
      </c>
      <c r="AD16" s="260" t="s">
        <v>7</v>
      </c>
      <c r="AE16" s="260" t="s">
        <v>7</v>
      </c>
      <c r="AF16" s="260" t="s">
        <v>7</v>
      </c>
      <c r="AG16" s="260" t="s">
        <v>7</v>
      </c>
      <c r="AH16" s="261" t="s">
        <v>7</v>
      </c>
    </row>
    <row r="17" spans="2:34" s="184" customFormat="1" ht="15" customHeight="1" x14ac:dyDescent="0.4">
      <c r="B17" s="170">
        <v>1650</v>
      </c>
      <c r="C17" s="262">
        <v>114.32064133528409</v>
      </c>
      <c r="D17" s="252">
        <v>123.83660212974441</v>
      </c>
      <c r="E17" s="252">
        <v>138.11054332143485</v>
      </c>
      <c r="F17" s="252">
        <v>153.66280159156364</v>
      </c>
      <c r="G17" s="252">
        <v>167.93674278325412</v>
      </c>
      <c r="H17" s="252">
        <v>182.21068397494452</v>
      </c>
      <c r="I17" s="252">
        <v>196.484625166635</v>
      </c>
      <c r="J17" s="252">
        <v>210.75856635832542</v>
      </c>
      <c r="K17" s="252">
        <v>225.03250755001582</v>
      </c>
      <c r="L17" s="252">
        <v>239.30644874170625</v>
      </c>
      <c r="M17" s="252">
        <v>253.58038993339667</v>
      </c>
      <c r="N17" s="252">
        <v>269.13264820352549</v>
      </c>
      <c r="O17" s="252">
        <v>283.40658939521597</v>
      </c>
      <c r="P17" s="253">
        <v>297.68053058690634</v>
      </c>
      <c r="Q17" s="253">
        <v>311.95447177859683</v>
      </c>
      <c r="R17" s="253">
        <v>326.22841297028731</v>
      </c>
      <c r="S17" s="253">
        <v>340.50235416197773</v>
      </c>
      <c r="T17" s="253">
        <v>354.7762953536681</v>
      </c>
      <c r="U17" s="253">
        <v>369.05023654535853</v>
      </c>
      <c r="V17" s="252">
        <v>384.60249481548743</v>
      </c>
      <c r="W17" s="252">
        <v>398.87643600717786</v>
      </c>
      <c r="X17" s="253">
        <v>413.15037719886828</v>
      </c>
      <c r="Y17" s="253">
        <v>427.42431839055865</v>
      </c>
      <c r="Z17" s="253">
        <v>441.69825958224908</v>
      </c>
      <c r="AA17" s="253">
        <v>455.97220077393956</v>
      </c>
      <c r="AB17" s="263">
        <v>470.24614196563004</v>
      </c>
      <c r="AC17" s="259" t="s">
        <v>7</v>
      </c>
      <c r="AD17" s="260" t="s">
        <v>7</v>
      </c>
      <c r="AE17" s="260" t="s">
        <v>7</v>
      </c>
      <c r="AF17" s="260" t="s">
        <v>7</v>
      </c>
      <c r="AG17" s="260" t="s">
        <v>7</v>
      </c>
      <c r="AH17" s="261" t="s">
        <v>7</v>
      </c>
    </row>
    <row r="18" spans="2:34" s="184" customFormat="1" ht="15" customHeight="1" x14ac:dyDescent="0.4">
      <c r="B18" s="170">
        <v>1800</v>
      </c>
      <c r="C18" s="262">
        <v>117.69597670145336</v>
      </c>
      <c r="D18" s="252">
        <v>127.55751552392057</v>
      </c>
      <c r="E18" s="252">
        <v>142.34982375762138</v>
      </c>
      <c r="F18" s="252">
        <v>158.53665971325503</v>
      </c>
      <c r="G18" s="252">
        <v>173.32896794695583</v>
      </c>
      <c r="H18" s="252">
        <v>188.12127618065668</v>
      </c>
      <c r="I18" s="252">
        <v>202.91358441435753</v>
      </c>
      <c r="J18" s="252">
        <v>217.70589264805832</v>
      </c>
      <c r="K18" s="252">
        <v>232.49820088175917</v>
      </c>
      <c r="L18" s="252">
        <v>247.29050911546</v>
      </c>
      <c r="M18" s="252">
        <v>262.08281734916085</v>
      </c>
      <c r="N18" s="252">
        <v>278.26965330479447</v>
      </c>
      <c r="O18" s="252">
        <v>293.06196153849538</v>
      </c>
      <c r="P18" s="253">
        <v>307.85426977219606</v>
      </c>
      <c r="Q18" s="253">
        <v>322.64657800589691</v>
      </c>
      <c r="R18" s="253">
        <v>337.43888623959771</v>
      </c>
      <c r="S18" s="253">
        <v>352.23119447329856</v>
      </c>
      <c r="T18" s="253">
        <v>367.02350270699941</v>
      </c>
      <c r="U18" s="253">
        <v>381.81581094070026</v>
      </c>
      <c r="V18" s="252">
        <v>398.00264689633389</v>
      </c>
      <c r="W18" s="252">
        <v>412.79495513003468</v>
      </c>
      <c r="X18" s="253">
        <v>427.58726336373547</v>
      </c>
      <c r="Y18" s="253">
        <v>442.37957159743627</v>
      </c>
      <c r="Z18" s="253">
        <v>457.17187983113712</v>
      </c>
      <c r="AA18" s="253">
        <v>471.96418806483803</v>
      </c>
      <c r="AB18" s="263">
        <v>486.75649629853882</v>
      </c>
      <c r="AC18" s="259" t="s">
        <v>7</v>
      </c>
      <c r="AD18" s="260" t="s">
        <v>7</v>
      </c>
      <c r="AE18" s="260" t="s">
        <v>7</v>
      </c>
      <c r="AF18" s="260" t="s">
        <v>7</v>
      </c>
      <c r="AG18" s="260" t="s">
        <v>7</v>
      </c>
      <c r="AH18" s="261" t="s">
        <v>7</v>
      </c>
    </row>
    <row r="19" spans="2:34" s="184" customFormat="1" ht="15" customHeight="1" x14ac:dyDescent="0.4">
      <c r="B19" s="170">
        <v>1950</v>
      </c>
      <c r="C19" s="262">
        <v>121.0713120676226</v>
      </c>
      <c r="D19" s="252">
        <v>131.27842891809675</v>
      </c>
      <c r="E19" s="252">
        <v>146.58910419380794</v>
      </c>
      <c r="F19" s="252">
        <v>163.41051783494638</v>
      </c>
      <c r="G19" s="252">
        <v>178.72119311065762</v>
      </c>
      <c r="H19" s="252">
        <v>194.03186838636884</v>
      </c>
      <c r="I19" s="252">
        <v>209.34254366208006</v>
      </c>
      <c r="J19" s="252">
        <v>224.65321893779128</v>
      </c>
      <c r="K19" s="252">
        <v>239.96389421350247</v>
      </c>
      <c r="L19" s="252">
        <v>255.27456948921377</v>
      </c>
      <c r="M19" s="252">
        <v>270.58524476492499</v>
      </c>
      <c r="N19" s="252">
        <v>287.4066584060634</v>
      </c>
      <c r="O19" s="252">
        <v>302.71733368177462</v>
      </c>
      <c r="P19" s="253">
        <v>318.02800895748584</v>
      </c>
      <c r="Q19" s="253">
        <v>333.33868423319706</v>
      </c>
      <c r="R19" s="253">
        <v>348.64935950890822</v>
      </c>
      <c r="S19" s="253">
        <v>363.96003478461949</v>
      </c>
      <c r="T19" s="253">
        <v>379.27071006033077</v>
      </c>
      <c r="U19" s="253">
        <v>394.58138533604199</v>
      </c>
      <c r="V19" s="252">
        <v>411.40279897718034</v>
      </c>
      <c r="W19" s="252">
        <v>426.7134742528915</v>
      </c>
      <c r="X19" s="253">
        <v>442.02414952860289</v>
      </c>
      <c r="Y19" s="253">
        <v>457.33482480431411</v>
      </c>
      <c r="Z19" s="253">
        <v>472.64550008002539</v>
      </c>
      <c r="AA19" s="253">
        <v>487.95617535573649</v>
      </c>
      <c r="AB19" s="263">
        <v>503.26685063144771</v>
      </c>
      <c r="AC19" s="259" t="s">
        <v>7</v>
      </c>
      <c r="AD19" s="260" t="s">
        <v>7</v>
      </c>
      <c r="AE19" s="260" t="s">
        <v>7</v>
      </c>
      <c r="AF19" s="260" t="s">
        <v>7</v>
      </c>
      <c r="AG19" s="260" t="s">
        <v>7</v>
      </c>
      <c r="AH19" s="261" t="s">
        <v>7</v>
      </c>
    </row>
    <row r="20" spans="2:34" s="184" customFormat="1" ht="15" customHeight="1" x14ac:dyDescent="0.4">
      <c r="B20" s="170">
        <v>2100</v>
      </c>
      <c r="C20" s="262">
        <v>124.44664743379182</v>
      </c>
      <c r="D20" s="252">
        <v>134.99934231227292</v>
      </c>
      <c r="E20" s="252">
        <v>150.82838462999456</v>
      </c>
      <c r="F20" s="252">
        <v>168.28437595663775</v>
      </c>
      <c r="G20" s="252">
        <v>184.11341827435939</v>
      </c>
      <c r="H20" s="252">
        <v>199.94246059208103</v>
      </c>
      <c r="I20" s="252">
        <v>215.77150290980262</v>
      </c>
      <c r="J20" s="252">
        <v>231.60054522752424</v>
      </c>
      <c r="K20" s="252">
        <v>247.42958754524585</v>
      </c>
      <c r="L20" s="252">
        <v>263.2586298629675</v>
      </c>
      <c r="M20" s="252">
        <v>279.08767218068914</v>
      </c>
      <c r="N20" s="252">
        <v>296.54366350733233</v>
      </c>
      <c r="O20" s="252">
        <v>312.37270582505397</v>
      </c>
      <c r="P20" s="253">
        <v>328.2017481427755</v>
      </c>
      <c r="Q20" s="253">
        <v>344.03079046049726</v>
      </c>
      <c r="R20" s="253">
        <v>359.85983277821879</v>
      </c>
      <c r="S20" s="253">
        <v>375.68887509594049</v>
      </c>
      <c r="T20" s="253">
        <v>391.51791741366208</v>
      </c>
      <c r="U20" s="253">
        <v>407.34695973138366</v>
      </c>
      <c r="V20" s="252">
        <v>424.80295105802685</v>
      </c>
      <c r="W20" s="252">
        <v>440.63199337574861</v>
      </c>
      <c r="X20" s="253">
        <v>456.46103569347002</v>
      </c>
      <c r="Y20" s="253">
        <v>472.29007801119178</v>
      </c>
      <c r="Z20" s="253">
        <v>488.11912032891337</v>
      </c>
      <c r="AA20" s="253">
        <v>503.94816264663496</v>
      </c>
      <c r="AB20" s="263">
        <v>519.77720496435666</v>
      </c>
      <c r="AC20" s="259" t="s">
        <v>7</v>
      </c>
      <c r="AD20" s="260" t="s">
        <v>7</v>
      </c>
      <c r="AE20" s="260" t="s">
        <v>7</v>
      </c>
      <c r="AF20" s="260" t="s">
        <v>7</v>
      </c>
      <c r="AG20" s="260" t="s">
        <v>7</v>
      </c>
      <c r="AH20" s="261" t="s">
        <v>7</v>
      </c>
    </row>
    <row r="21" spans="2:34" s="184" customFormat="1" ht="15" customHeight="1" x14ac:dyDescent="0.4">
      <c r="B21" s="170">
        <v>2250</v>
      </c>
      <c r="C21" s="262">
        <v>127.82198279996108</v>
      </c>
      <c r="D21" s="252">
        <v>138.72025570644908</v>
      </c>
      <c r="E21" s="252">
        <v>155.06766506618112</v>
      </c>
      <c r="F21" s="252">
        <v>173.15823407832912</v>
      </c>
      <c r="G21" s="252">
        <v>189.50564343806118</v>
      </c>
      <c r="H21" s="252">
        <v>205.85305279779317</v>
      </c>
      <c r="I21" s="252">
        <v>222.20046215752521</v>
      </c>
      <c r="J21" s="252">
        <v>238.54787151725719</v>
      </c>
      <c r="K21" s="252">
        <v>254.89528087698923</v>
      </c>
      <c r="L21" s="252">
        <v>271.24269023672122</v>
      </c>
      <c r="M21" s="252">
        <v>287.59009959645329</v>
      </c>
      <c r="N21" s="252">
        <v>305.68066860860131</v>
      </c>
      <c r="O21" s="252">
        <v>322.02807796833326</v>
      </c>
      <c r="P21" s="253">
        <v>338.37548732806528</v>
      </c>
      <c r="Q21" s="253">
        <v>354.72289668779729</v>
      </c>
      <c r="R21" s="253">
        <v>371.0703060475293</v>
      </c>
      <c r="S21" s="253">
        <v>387.41771540726143</v>
      </c>
      <c r="T21" s="253">
        <v>403.76512476699338</v>
      </c>
      <c r="U21" s="253">
        <v>420.11253412672534</v>
      </c>
      <c r="V21" s="252">
        <v>438.20310313887336</v>
      </c>
      <c r="W21" s="252">
        <v>454.55051249860537</v>
      </c>
      <c r="X21" s="253">
        <v>470.89792185833744</v>
      </c>
      <c r="Y21" s="253">
        <v>487.24533121806945</v>
      </c>
      <c r="Z21" s="253">
        <v>503.59274057780146</v>
      </c>
      <c r="AA21" s="253">
        <v>519.94014993753353</v>
      </c>
      <c r="AB21" s="263">
        <v>536.28755929726549</v>
      </c>
      <c r="AC21" s="259" t="s">
        <v>7</v>
      </c>
      <c r="AD21" s="260" t="s">
        <v>7</v>
      </c>
      <c r="AE21" s="260" t="s">
        <v>7</v>
      </c>
      <c r="AF21" s="260" t="s">
        <v>7</v>
      </c>
      <c r="AG21" s="260" t="s">
        <v>7</v>
      </c>
      <c r="AH21" s="261" t="s">
        <v>7</v>
      </c>
    </row>
    <row r="22" spans="2:34" s="184" customFormat="1" ht="15" customHeight="1" x14ac:dyDescent="0.4">
      <c r="B22" s="170">
        <v>2400</v>
      </c>
      <c r="C22" s="262">
        <v>131.19731816613034</v>
      </c>
      <c r="D22" s="252">
        <v>142.44116910062527</v>
      </c>
      <c r="E22" s="252">
        <v>159.30694550236768</v>
      </c>
      <c r="F22" s="252">
        <v>178.03209220002049</v>
      </c>
      <c r="G22" s="252">
        <v>194.89786860176292</v>
      </c>
      <c r="H22" s="252">
        <v>211.76364500350527</v>
      </c>
      <c r="I22" s="252">
        <v>228.62942140524774</v>
      </c>
      <c r="J22" s="252">
        <v>245.49519780699015</v>
      </c>
      <c r="K22" s="252">
        <v>262.36097420873256</v>
      </c>
      <c r="L22" s="252">
        <v>279.22675061047499</v>
      </c>
      <c r="M22" s="252">
        <v>296.09252701221737</v>
      </c>
      <c r="N22" s="252">
        <v>314.81767370987018</v>
      </c>
      <c r="O22" s="252">
        <v>331.68345011161261</v>
      </c>
      <c r="P22" s="253">
        <v>348.54922651335505</v>
      </c>
      <c r="Q22" s="253">
        <v>365.41500291509743</v>
      </c>
      <c r="R22" s="253">
        <v>382.28077931683981</v>
      </c>
      <c r="S22" s="253">
        <v>399.14655571858225</v>
      </c>
      <c r="T22" s="253">
        <v>416.01233212032469</v>
      </c>
      <c r="U22" s="253">
        <v>432.87810852206695</v>
      </c>
      <c r="V22" s="252">
        <v>451.60325521971987</v>
      </c>
      <c r="W22" s="252">
        <v>468.46903162146225</v>
      </c>
      <c r="X22" s="253">
        <v>485.33480802320469</v>
      </c>
      <c r="Y22" s="253">
        <v>502.20058442494712</v>
      </c>
      <c r="Z22" s="253">
        <v>519.06636082668956</v>
      </c>
      <c r="AA22" s="253">
        <v>535.93213722843188</v>
      </c>
      <c r="AB22" s="263">
        <v>552.79791363017443</v>
      </c>
      <c r="AC22" s="259" t="s">
        <v>7</v>
      </c>
      <c r="AD22" s="260" t="s">
        <v>7</v>
      </c>
      <c r="AE22" s="260" t="s">
        <v>7</v>
      </c>
      <c r="AF22" s="260" t="s">
        <v>7</v>
      </c>
      <c r="AG22" s="260" t="s">
        <v>7</v>
      </c>
      <c r="AH22" s="261" t="s">
        <v>7</v>
      </c>
    </row>
    <row r="23" spans="2:34" s="184" customFormat="1" ht="15" customHeight="1" x14ac:dyDescent="0.4">
      <c r="B23" s="170">
        <v>2550</v>
      </c>
      <c r="C23" s="262">
        <v>134.57265353229957</v>
      </c>
      <c r="D23" s="252">
        <v>146.16208249480147</v>
      </c>
      <c r="E23" s="252">
        <v>163.54622593855424</v>
      </c>
      <c r="F23" s="252">
        <v>182.90595032171188</v>
      </c>
      <c r="G23" s="252">
        <v>200.29009376546469</v>
      </c>
      <c r="H23" s="252">
        <v>217.67423720921752</v>
      </c>
      <c r="I23" s="252">
        <v>235.0583806529703</v>
      </c>
      <c r="J23" s="252">
        <v>252.4425240967231</v>
      </c>
      <c r="K23" s="252">
        <v>269.82666754047585</v>
      </c>
      <c r="L23" s="252">
        <v>287.21081098422871</v>
      </c>
      <c r="M23" s="252">
        <v>304.59495442798152</v>
      </c>
      <c r="N23" s="252">
        <v>323.95467881113916</v>
      </c>
      <c r="O23" s="252">
        <v>341.33882225489197</v>
      </c>
      <c r="P23" s="253">
        <v>358.72296569864471</v>
      </c>
      <c r="Q23" s="253">
        <v>376.10710914239746</v>
      </c>
      <c r="R23" s="253">
        <v>393.49125258615038</v>
      </c>
      <c r="S23" s="253">
        <v>410.87539602990313</v>
      </c>
      <c r="T23" s="253">
        <v>428.25953947365599</v>
      </c>
      <c r="U23" s="253">
        <v>445.6436829174088</v>
      </c>
      <c r="V23" s="252">
        <v>465.00340730056638</v>
      </c>
      <c r="W23" s="252">
        <v>482.38755074431919</v>
      </c>
      <c r="X23" s="253">
        <v>499.77169418807199</v>
      </c>
      <c r="Y23" s="253">
        <v>517.15583763182485</v>
      </c>
      <c r="Z23" s="253">
        <v>534.53998107557766</v>
      </c>
      <c r="AA23" s="253">
        <v>551.92412451933046</v>
      </c>
      <c r="AB23" s="263">
        <v>569.30826796308327</v>
      </c>
      <c r="AC23" s="259" t="s">
        <v>7</v>
      </c>
      <c r="AD23" s="260" t="s">
        <v>7</v>
      </c>
      <c r="AE23" s="260" t="s">
        <v>7</v>
      </c>
      <c r="AF23" s="260" t="s">
        <v>7</v>
      </c>
      <c r="AG23" s="260" t="s">
        <v>7</v>
      </c>
      <c r="AH23" s="261" t="s">
        <v>7</v>
      </c>
    </row>
    <row r="24" spans="2:34" s="184" customFormat="1" ht="15" customHeight="1" x14ac:dyDescent="0.4">
      <c r="B24" s="170">
        <v>2700</v>
      </c>
      <c r="C24" s="262">
        <v>137.94798889846882</v>
      </c>
      <c r="D24" s="252">
        <v>149.88299588897766</v>
      </c>
      <c r="E24" s="252">
        <v>167.78550637474081</v>
      </c>
      <c r="F24" s="252">
        <v>187.77980844340325</v>
      </c>
      <c r="G24" s="252">
        <v>205.68231892916643</v>
      </c>
      <c r="H24" s="252">
        <v>223.58482941492963</v>
      </c>
      <c r="I24" s="252">
        <v>241.48733990069289</v>
      </c>
      <c r="J24" s="252">
        <v>259.38985038645603</v>
      </c>
      <c r="K24" s="252">
        <v>277.29236087221921</v>
      </c>
      <c r="L24" s="252">
        <v>295.19487135798238</v>
      </c>
      <c r="M24" s="252">
        <v>313.09738184374572</v>
      </c>
      <c r="N24" s="252">
        <v>333.09168391240814</v>
      </c>
      <c r="O24" s="252">
        <v>350.99419439817132</v>
      </c>
      <c r="P24" s="253">
        <v>368.89670488393443</v>
      </c>
      <c r="Q24" s="253">
        <v>386.79921536969772</v>
      </c>
      <c r="R24" s="253">
        <v>404.70172585546084</v>
      </c>
      <c r="S24" s="253">
        <v>422.60423634122407</v>
      </c>
      <c r="T24" s="253">
        <v>440.5067468269873</v>
      </c>
      <c r="U24" s="253">
        <v>458.40925731275053</v>
      </c>
      <c r="V24" s="252">
        <v>478.40355938141295</v>
      </c>
      <c r="W24" s="252">
        <v>496.30606986717618</v>
      </c>
      <c r="X24" s="253">
        <v>514.20858035293918</v>
      </c>
      <c r="Y24" s="253">
        <v>532.11109083870258</v>
      </c>
      <c r="Z24" s="253">
        <v>550.01360132446564</v>
      </c>
      <c r="AA24" s="253">
        <v>567.91611181022893</v>
      </c>
      <c r="AB24" s="263">
        <v>585.81862229599199</v>
      </c>
      <c r="AC24" s="259" t="s">
        <v>7</v>
      </c>
      <c r="AD24" s="260" t="s">
        <v>7</v>
      </c>
      <c r="AE24" s="260" t="s">
        <v>7</v>
      </c>
      <c r="AF24" s="260" t="s">
        <v>7</v>
      </c>
      <c r="AG24" s="260" t="s">
        <v>7</v>
      </c>
      <c r="AH24" s="261" t="s">
        <v>7</v>
      </c>
    </row>
    <row r="25" spans="2:34" s="184" customFormat="1" ht="15" customHeight="1" x14ac:dyDescent="0.4">
      <c r="B25" s="170">
        <v>2850</v>
      </c>
      <c r="C25" s="262">
        <v>141.32332426463805</v>
      </c>
      <c r="D25" s="252">
        <v>153.60390928315377</v>
      </c>
      <c r="E25" s="252">
        <v>172.0247868109274</v>
      </c>
      <c r="F25" s="252">
        <v>192.65366656509462</v>
      </c>
      <c r="G25" s="252">
        <v>211.07454409286819</v>
      </c>
      <c r="H25" s="252">
        <v>229.49542162064185</v>
      </c>
      <c r="I25" s="252">
        <v>247.91629914841542</v>
      </c>
      <c r="J25" s="252">
        <v>266.33717667618902</v>
      </c>
      <c r="K25" s="252">
        <v>284.75805420396256</v>
      </c>
      <c r="L25" s="252">
        <v>303.17893173173621</v>
      </c>
      <c r="M25" s="252">
        <v>321.59980925950975</v>
      </c>
      <c r="N25" s="252">
        <v>342.22868901367707</v>
      </c>
      <c r="O25" s="252">
        <v>360.64956654145061</v>
      </c>
      <c r="P25" s="253">
        <v>379.07044406922421</v>
      </c>
      <c r="Q25" s="253">
        <v>397.49132159699775</v>
      </c>
      <c r="R25" s="253">
        <v>415.91219912477146</v>
      </c>
      <c r="S25" s="253">
        <v>434.33307665254495</v>
      </c>
      <c r="T25" s="253">
        <v>452.75395418031866</v>
      </c>
      <c r="U25" s="253">
        <v>471.17483170809214</v>
      </c>
      <c r="V25" s="252">
        <v>491.80371146225929</v>
      </c>
      <c r="W25" s="252">
        <v>510.22458899003294</v>
      </c>
      <c r="X25" s="253">
        <v>528.64546651780665</v>
      </c>
      <c r="Y25" s="253">
        <v>547.06634404558019</v>
      </c>
      <c r="Z25" s="253">
        <v>565.48722157335362</v>
      </c>
      <c r="AA25" s="253">
        <v>583.90809910112739</v>
      </c>
      <c r="AB25" s="263">
        <v>602.32897662890093</v>
      </c>
      <c r="AC25" s="259" t="s">
        <v>7</v>
      </c>
      <c r="AD25" s="260" t="s">
        <v>7</v>
      </c>
      <c r="AE25" s="260" t="s">
        <v>7</v>
      </c>
      <c r="AF25" s="260" t="s">
        <v>7</v>
      </c>
      <c r="AG25" s="260" t="s">
        <v>7</v>
      </c>
      <c r="AH25" s="261" t="s">
        <v>7</v>
      </c>
    </row>
    <row r="26" spans="2:34" s="184" customFormat="1" ht="15" customHeight="1" thickBot="1" x14ac:dyDescent="0.45">
      <c r="B26" s="171">
        <v>3000</v>
      </c>
      <c r="C26" s="264">
        <v>144.6986596308073</v>
      </c>
      <c r="D26" s="255">
        <v>157.32482267732996</v>
      </c>
      <c r="E26" s="255">
        <v>176.26406724711399</v>
      </c>
      <c r="F26" s="255">
        <v>197.52752468678594</v>
      </c>
      <c r="G26" s="255">
        <v>216.46676925656996</v>
      </c>
      <c r="H26" s="255">
        <v>235.40601382635398</v>
      </c>
      <c r="I26" s="255">
        <v>254.34525839613795</v>
      </c>
      <c r="J26" s="255">
        <v>273.28450296592189</v>
      </c>
      <c r="K26" s="255">
        <v>292.22374753570591</v>
      </c>
      <c r="L26" s="255">
        <v>311.16299210548993</v>
      </c>
      <c r="M26" s="255">
        <v>330.1022366752739</v>
      </c>
      <c r="N26" s="255">
        <v>351.36569411494588</v>
      </c>
      <c r="O26" s="255">
        <v>370.30493868472996</v>
      </c>
      <c r="P26" s="256">
        <v>389.24418325451393</v>
      </c>
      <c r="Q26" s="256">
        <v>408.18342782429789</v>
      </c>
      <c r="R26" s="256">
        <v>427.12267239408192</v>
      </c>
      <c r="S26" s="256">
        <v>446.06191696386588</v>
      </c>
      <c r="T26" s="256">
        <v>465.00116153364991</v>
      </c>
      <c r="U26" s="256">
        <v>483.94040610343387</v>
      </c>
      <c r="V26" s="255">
        <v>505.20386354310591</v>
      </c>
      <c r="W26" s="255">
        <v>524.14310811288988</v>
      </c>
      <c r="X26" s="256">
        <v>543.08235268267379</v>
      </c>
      <c r="Y26" s="256">
        <v>562.02159725245781</v>
      </c>
      <c r="Z26" s="256">
        <v>580.96084182224183</v>
      </c>
      <c r="AA26" s="256">
        <v>599.90008639202586</v>
      </c>
      <c r="AB26" s="265">
        <v>618.83933096180976</v>
      </c>
      <c r="AC26" s="266" t="s">
        <v>7</v>
      </c>
      <c r="AD26" s="267" t="s">
        <v>7</v>
      </c>
      <c r="AE26" s="267" t="s">
        <v>7</v>
      </c>
      <c r="AF26" s="267" t="s">
        <v>7</v>
      </c>
      <c r="AG26" s="267" t="s">
        <v>7</v>
      </c>
      <c r="AH26" s="268" t="s">
        <v>7</v>
      </c>
    </row>
    <row r="27" spans="2:34" s="275" customFormat="1" ht="15.9" thickBot="1" x14ac:dyDescent="0.45">
      <c r="B27" s="290" t="s">
        <v>54</v>
      </c>
      <c r="C27" s="291">
        <v>12.233398535170325</v>
      </c>
      <c r="D27" s="2">
        <v>13.389197294910959</v>
      </c>
      <c r="E27" s="2">
        <v>14.544996054651593</v>
      </c>
      <c r="F27" s="1">
        <v>15.700794814392196</v>
      </c>
      <c r="G27" s="2">
        <v>16.856593574132816</v>
      </c>
      <c r="H27" s="1">
        <v>18.012392333873454</v>
      </c>
      <c r="I27" s="2">
        <v>19.168191093614059</v>
      </c>
      <c r="J27" s="1">
        <v>20.323989853354693</v>
      </c>
      <c r="K27" s="2">
        <v>21.479788613095298</v>
      </c>
      <c r="L27" s="1">
        <v>22.635587372835904</v>
      </c>
      <c r="M27" s="2">
        <v>23.791386132576569</v>
      </c>
      <c r="N27" s="1">
        <v>24.947184892317143</v>
      </c>
      <c r="O27" s="2">
        <v>26.10298365205778</v>
      </c>
      <c r="P27" s="1">
        <v>27.258782411798446</v>
      </c>
      <c r="Q27" s="2">
        <v>28.414581171539115</v>
      </c>
      <c r="R27" s="1">
        <v>29.570379931279685</v>
      </c>
      <c r="S27" s="2">
        <v>30.726178691020323</v>
      </c>
      <c r="T27" s="1">
        <v>31.881977450760893</v>
      </c>
      <c r="U27" s="2">
        <v>33.037776210501534</v>
      </c>
      <c r="V27" s="1">
        <v>34.193574970242167</v>
      </c>
      <c r="W27" s="2">
        <v>35.349373729982801</v>
      </c>
      <c r="X27" s="1">
        <v>36.505172489723449</v>
      </c>
      <c r="Y27" s="2">
        <v>37.66097124946409</v>
      </c>
      <c r="Z27" s="1">
        <v>38.816770009204731</v>
      </c>
      <c r="AA27" s="2">
        <v>39.972568768945372</v>
      </c>
      <c r="AB27" s="292">
        <v>41.128367528686013</v>
      </c>
      <c r="AC27" s="266" t="s">
        <v>7</v>
      </c>
      <c r="AD27" s="267" t="s">
        <v>7</v>
      </c>
      <c r="AE27" s="267" t="s">
        <v>7</v>
      </c>
      <c r="AF27" s="267" t="s">
        <v>7</v>
      </c>
      <c r="AG27" s="267" t="s">
        <v>7</v>
      </c>
      <c r="AH27" s="268" t="s">
        <v>7</v>
      </c>
    </row>
    <row r="28" spans="2:34" s="184" customFormat="1" x14ac:dyDescent="0.4"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</row>
    <row r="29" spans="2:34" s="184" customFormat="1" ht="45.9" thickBot="1" x14ac:dyDescent="1.1000000000000001">
      <c r="B29" s="161" t="s">
        <v>38</v>
      </c>
      <c r="C29" s="161"/>
      <c r="D29" s="129"/>
      <c r="E29" s="129"/>
      <c r="F29" s="129"/>
      <c r="G29" s="129"/>
      <c r="H29" s="98"/>
      <c r="I29" s="130"/>
      <c r="J29" s="130"/>
      <c r="K29" s="130"/>
      <c r="L29" s="129"/>
      <c r="M29" s="129"/>
      <c r="N29" s="172"/>
      <c r="O29" s="173"/>
      <c r="P29" s="174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6"/>
      <c r="AB29" s="143"/>
      <c r="AC29" s="143"/>
      <c r="AD29" s="143"/>
      <c r="AE29" s="143"/>
      <c r="AF29" s="143"/>
      <c r="AG29" s="143"/>
      <c r="AH29" s="143"/>
    </row>
    <row r="30" spans="2:34" s="184" customFormat="1" ht="15.9" thickBot="1" x14ac:dyDescent="0.45">
      <c r="B30" s="165"/>
      <c r="C30" s="166">
        <v>800</v>
      </c>
      <c r="D30" s="136">
        <v>900</v>
      </c>
      <c r="E30" s="136">
        <v>1050</v>
      </c>
      <c r="F30" s="135">
        <v>1200</v>
      </c>
      <c r="G30" s="136">
        <v>1350</v>
      </c>
      <c r="H30" s="135">
        <v>1500</v>
      </c>
      <c r="I30" s="136">
        <v>1650</v>
      </c>
      <c r="J30" s="135">
        <v>1800</v>
      </c>
      <c r="K30" s="136">
        <v>1950</v>
      </c>
      <c r="L30" s="135">
        <v>2100</v>
      </c>
      <c r="M30" s="136">
        <v>2250</v>
      </c>
      <c r="N30" s="135">
        <v>2400</v>
      </c>
      <c r="O30" s="136">
        <v>2550</v>
      </c>
      <c r="P30" s="135">
        <v>2700</v>
      </c>
      <c r="Q30" s="136">
        <v>2850</v>
      </c>
      <c r="R30" s="135">
        <v>3000</v>
      </c>
      <c r="S30" s="136">
        <v>3150</v>
      </c>
      <c r="T30" s="135">
        <v>3300</v>
      </c>
      <c r="U30" s="136">
        <v>3450</v>
      </c>
      <c r="V30" s="135">
        <v>3600</v>
      </c>
      <c r="W30" s="136">
        <v>3750</v>
      </c>
      <c r="X30" s="135">
        <v>3900</v>
      </c>
      <c r="Y30" s="136">
        <v>4050</v>
      </c>
      <c r="Z30" s="135">
        <v>4200</v>
      </c>
      <c r="AA30" s="136">
        <v>4350</v>
      </c>
      <c r="AB30" s="167">
        <v>4500</v>
      </c>
      <c r="AC30" s="135">
        <v>4650</v>
      </c>
      <c r="AD30" s="136">
        <v>4800</v>
      </c>
      <c r="AE30" s="136">
        <v>4950</v>
      </c>
      <c r="AF30" s="135">
        <v>5100</v>
      </c>
      <c r="AG30" s="136">
        <v>5250</v>
      </c>
      <c r="AH30" s="137">
        <v>5400</v>
      </c>
    </row>
    <row r="31" spans="2:34" s="184" customFormat="1" ht="15.45" x14ac:dyDescent="0.4">
      <c r="B31" s="169">
        <v>900</v>
      </c>
      <c r="C31" s="257">
        <v>111.66931657754776</v>
      </c>
      <c r="D31" s="249">
        <v>120.09293226771949</v>
      </c>
      <c r="E31" s="249">
        <v>132.72835580297709</v>
      </c>
      <c r="F31" s="249">
        <v>146.09774129714665</v>
      </c>
      <c r="G31" s="249">
        <v>158.73316483240424</v>
      </c>
      <c r="H31" s="249">
        <v>171.3685883676618</v>
      </c>
      <c r="I31" s="249">
        <v>184.00401190291939</v>
      </c>
      <c r="J31" s="249">
        <v>196.63943543817695</v>
      </c>
      <c r="K31" s="249">
        <v>209.27485897343456</v>
      </c>
      <c r="L31" s="249">
        <v>221.91028250869209</v>
      </c>
      <c r="M31" s="249">
        <v>234.54570604394968</v>
      </c>
      <c r="N31" s="249">
        <v>247.9150915381193</v>
      </c>
      <c r="O31" s="249">
        <v>260.55051507337686</v>
      </c>
      <c r="P31" s="250">
        <v>273.18593860863444</v>
      </c>
      <c r="Q31" s="250">
        <v>285.82136214389203</v>
      </c>
      <c r="R31" s="250">
        <v>298.45678567914956</v>
      </c>
      <c r="S31" s="250">
        <v>311.09220921440715</v>
      </c>
      <c r="T31" s="250">
        <v>323.72763274966479</v>
      </c>
      <c r="U31" s="250">
        <v>336.36305628492227</v>
      </c>
      <c r="V31" s="249">
        <v>349.73244177909191</v>
      </c>
      <c r="W31" s="249">
        <v>362.36786531434944</v>
      </c>
      <c r="X31" s="250">
        <v>375.00328884960709</v>
      </c>
      <c r="Y31" s="250">
        <v>387.63871238486473</v>
      </c>
      <c r="Z31" s="250">
        <v>400.27413592012221</v>
      </c>
      <c r="AA31" s="250">
        <v>412.90955945537985</v>
      </c>
      <c r="AB31" s="258">
        <v>425.54498299063738</v>
      </c>
      <c r="AC31" s="259" t="s">
        <v>7</v>
      </c>
      <c r="AD31" s="260" t="s">
        <v>7</v>
      </c>
      <c r="AE31" s="260" t="s">
        <v>7</v>
      </c>
      <c r="AF31" s="260" t="s">
        <v>7</v>
      </c>
      <c r="AG31" s="260" t="s">
        <v>7</v>
      </c>
      <c r="AH31" s="261" t="s">
        <v>7</v>
      </c>
    </row>
    <row r="32" spans="2:34" s="184" customFormat="1" ht="15.45" x14ac:dyDescent="0.4">
      <c r="B32" s="170">
        <v>1050</v>
      </c>
      <c r="C32" s="262">
        <v>114.9475432787404</v>
      </c>
      <c r="D32" s="252">
        <v>123.73492531418256</v>
      </c>
      <c r="E32" s="252">
        <v>136.91599836734582</v>
      </c>
      <c r="F32" s="252">
        <v>150.95336037257309</v>
      </c>
      <c r="G32" s="252">
        <v>164.13443342573635</v>
      </c>
      <c r="H32" s="252">
        <v>177.31550647889958</v>
      </c>
      <c r="I32" s="252">
        <v>190.4965795320629</v>
      </c>
      <c r="J32" s="252">
        <v>203.6776525852261</v>
      </c>
      <c r="K32" s="252">
        <v>216.85872563838939</v>
      </c>
      <c r="L32" s="252">
        <v>230.03979869155265</v>
      </c>
      <c r="M32" s="252">
        <v>243.22087174471588</v>
      </c>
      <c r="N32" s="252">
        <v>257.25823374994314</v>
      </c>
      <c r="O32" s="252">
        <v>270.43930680310643</v>
      </c>
      <c r="P32" s="253">
        <v>283.62037985626966</v>
      </c>
      <c r="Q32" s="253">
        <v>296.80145290943295</v>
      </c>
      <c r="R32" s="253">
        <v>309.98252596259618</v>
      </c>
      <c r="S32" s="253">
        <v>323.16359901575947</v>
      </c>
      <c r="T32" s="253">
        <v>336.3446720689227</v>
      </c>
      <c r="U32" s="253">
        <v>349.52574512208599</v>
      </c>
      <c r="V32" s="252">
        <v>363.56310712731317</v>
      </c>
      <c r="W32" s="252">
        <v>376.74418018047652</v>
      </c>
      <c r="X32" s="253">
        <v>389.92525323363981</v>
      </c>
      <c r="Y32" s="253">
        <v>403.10632628680298</v>
      </c>
      <c r="Z32" s="253">
        <v>416.28739933996621</v>
      </c>
      <c r="AA32" s="253">
        <v>429.4684723931295</v>
      </c>
      <c r="AB32" s="263">
        <v>442.64954544629273</v>
      </c>
      <c r="AC32" s="259" t="s">
        <v>7</v>
      </c>
      <c r="AD32" s="260" t="s">
        <v>7</v>
      </c>
      <c r="AE32" s="260" t="s">
        <v>7</v>
      </c>
      <c r="AF32" s="260" t="s">
        <v>7</v>
      </c>
      <c r="AG32" s="260" t="s">
        <v>7</v>
      </c>
      <c r="AH32" s="261" t="s">
        <v>7</v>
      </c>
    </row>
    <row r="33" spans="2:34" s="184" customFormat="1" ht="15.45" x14ac:dyDescent="0.4">
      <c r="B33" s="170">
        <v>1200</v>
      </c>
      <c r="C33" s="262">
        <v>118.22576997993302</v>
      </c>
      <c r="D33" s="252">
        <v>127.37691836064562</v>
      </c>
      <c r="E33" s="252">
        <v>141.10364093171455</v>
      </c>
      <c r="F33" s="252">
        <v>155.80897944799949</v>
      </c>
      <c r="G33" s="252">
        <v>169.53570201906851</v>
      </c>
      <c r="H33" s="252">
        <v>183.26242459013739</v>
      </c>
      <c r="I33" s="252">
        <v>196.98914716120632</v>
      </c>
      <c r="J33" s="252">
        <v>210.71586973227525</v>
      </c>
      <c r="K33" s="252">
        <v>224.44259230334421</v>
      </c>
      <c r="L33" s="252">
        <v>238.16931487441317</v>
      </c>
      <c r="M33" s="252">
        <v>251.89603744548211</v>
      </c>
      <c r="N33" s="252">
        <v>266.60137596176708</v>
      </c>
      <c r="O33" s="252">
        <v>280.32809853283601</v>
      </c>
      <c r="P33" s="253">
        <v>294.05482110390489</v>
      </c>
      <c r="Q33" s="253">
        <v>307.78154367497388</v>
      </c>
      <c r="R33" s="253">
        <v>321.50826624604281</v>
      </c>
      <c r="S33" s="253">
        <v>335.23498881711168</v>
      </c>
      <c r="T33" s="253">
        <v>348.96171138818073</v>
      </c>
      <c r="U33" s="253">
        <v>362.68843395924955</v>
      </c>
      <c r="V33" s="252">
        <v>377.39377247553455</v>
      </c>
      <c r="W33" s="252">
        <v>391.12049504660348</v>
      </c>
      <c r="X33" s="253">
        <v>404.84721761767241</v>
      </c>
      <c r="Y33" s="253">
        <v>418.57394018874135</v>
      </c>
      <c r="Z33" s="253">
        <v>432.30066275981028</v>
      </c>
      <c r="AA33" s="253">
        <v>446.02738533087933</v>
      </c>
      <c r="AB33" s="263">
        <v>459.75410790194826</v>
      </c>
      <c r="AC33" s="259" t="s">
        <v>7</v>
      </c>
      <c r="AD33" s="260" t="s">
        <v>7</v>
      </c>
      <c r="AE33" s="260" t="s">
        <v>7</v>
      </c>
      <c r="AF33" s="260" t="s">
        <v>7</v>
      </c>
      <c r="AG33" s="260" t="s">
        <v>7</v>
      </c>
      <c r="AH33" s="261" t="s">
        <v>7</v>
      </c>
    </row>
    <row r="34" spans="2:34" s="184" customFormat="1" ht="15.45" x14ac:dyDescent="0.4">
      <c r="B34" s="170">
        <v>1350</v>
      </c>
      <c r="C34" s="262">
        <v>121.50399668112564</v>
      </c>
      <c r="D34" s="252">
        <v>131.01891140710867</v>
      </c>
      <c r="E34" s="252">
        <v>145.29128349608334</v>
      </c>
      <c r="F34" s="252">
        <v>160.66459852342598</v>
      </c>
      <c r="G34" s="252">
        <v>174.93697061240056</v>
      </c>
      <c r="H34" s="252">
        <v>189.20934270137519</v>
      </c>
      <c r="I34" s="252">
        <v>203.48171479034988</v>
      </c>
      <c r="J34" s="252">
        <v>217.7540868793244</v>
      </c>
      <c r="K34" s="252">
        <v>232.02645896829904</v>
      </c>
      <c r="L34" s="252">
        <v>246.29883105727365</v>
      </c>
      <c r="M34" s="252">
        <v>260.57120314624831</v>
      </c>
      <c r="N34" s="252">
        <v>275.94451817359095</v>
      </c>
      <c r="O34" s="252">
        <v>290.21689026256547</v>
      </c>
      <c r="P34" s="253">
        <v>304.48926235154022</v>
      </c>
      <c r="Q34" s="253">
        <v>318.76163444051474</v>
      </c>
      <c r="R34" s="253">
        <v>333.03400652948937</v>
      </c>
      <c r="S34" s="253">
        <v>347.30637861846395</v>
      </c>
      <c r="T34" s="253">
        <v>361.57875070743864</v>
      </c>
      <c r="U34" s="253">
        <v>375.85112279641328</v>
      </c>
      <c r="V34" s="252">
        <v>391.22443782375592</v>
      </c>
      <c r="W34" s="252">
        <v>405.4968099127305</v>
      </c>
      <c r="X34" s="253">
        <v>419.76918200170496</v>
      </c>
      <c r="Y34" s="253">
        <v>434.04155409067971</v>
      </c>
      <c r="Z34" s="253">
        <v>448.3139261796544</v>
      </c>
      <c r="AA34" s="253">
        <v>462.58629826862898</v>
      </c>
      <c r="AB34" s="263">
        <v>476.85867035760361</v>
      </c>
      <c r="AC34" s="259" t="s">
        <v>7</v>
      </c>
      <c r="AD34" s="260" t="s">
        <v>7</v>
      </c>
      <c r="AE34" s="260" t="s">
        <v>7</v>
      </c>
      <c r="AF34" s="260" t="s">
        <v>7</v>
      </c>
      <c r="AG34" s="260" t="s">
        <v>7</v>
      </c>
      <c r="AH34" s="261" t="s">
        <v>7</v>
      </c>
    </row>
    <row r="35" spans="2:34" s="184" customFormat="1" ht="15.45" x14ac:dyDescent="0.4">
      <c r="B35" s="170">
        <v>1500</v>
      </c>
      <c r="C35" s="262">
        <v>124.78222338231826</v>
      </c>
      <c r="D35" s="252">
        <v>134.66090445357182</v>
      </c>
      <c r="E35" s="252">
        <v>149.4789260604521</v>
      </c>
      <c r="F35" s="252">
        <v>165.52021759885238</v>
      </c>
      <c r="G35" s="252">
        <v>180.33823920573269</v>
      </c>
      <c r="H35" s="252">
        <v>195.156260812613</v>
      </c>
      <c r="I35" s="252">
        <v>209.97428241949333</v>
      </c>
      <c r="J35" s="252">
        <v>224.79230402637356</v>
      </c>
      <c r="K35" s="252">
        <v>239.61032563325386</v>
      </c>
      <c r="L35" s="252">
        <v>254.42834724013417</v>
      </c>
      <c r="M35" s="252">
        <v>269.24636884701448</v>
      </c>
      <c r="N35" s="252">
        <v>285.28766038541482</v>
      </c>
      <c r="O35" s="252">
        <v>300.10568199229516</v>
      </c>
      <c r="P35" s="253">
        <v>314.92370359917538</v>
      </c>
      <c r="Q35" s="253">
        <v>329.74172520605572</v>
      </c>
      <c r="R35" s="253">
        <v>344.559746812936</v>
      </c>
      <c r="S35" s="253">
        <v>359.37776841981628</v>
      </c>
      <c r="T35" s="253">
        <v>374.19579002669656</v>
      </c>
      <c r="U35" s="253">
        <v>389.01381163357689</v>
      </c>
      <c r="V35" s="252">
        <v>405.05510317197718</v>
      </c>
      <c r="W35" s="252">
        <v>419.87312477885757</v>
      </c>
      <c r="X35" s="253">
        <v>434.69114638573768</v>
      </c>
      <c r="Y35" s="253">
        <v>449.50916799261813</v>
      </c>
      <c r="Z35" s="253">
        <v>464.32718959949835</v>
      </c>
      <c r="AA35" s="253">
        <v>479.14521120637875</v>
      </c>
      <c r="AB35" s="263">
        <v>493.96323281325891</v>
      </c>
      <c r="AC35" s="259" t="s">
        <v>7</v>
      </c>
      <c r="AD35" s="260" t="s">
        <v>7</v>
      </c>
      <c r="AE35" s="260" t="s">
        <v>7</v>
      </c>
      <c r="AF35" s="260" t="s">
        <v>7</v>
      </c>
      <c r="AG35" s="260" t="s">
        <v>7</v>
      </c>
      <c r="AH35" s="261" t="s">
        <v>7</v>
      </c>
    </row>
    <row r="36" spans="2:34" s="184" customFormat="1" ht="15" customHeight="1" x14ac:dyDescent="0.4">
      <c r="B36" s="170">
        <v>1650</v>
      </c>
      <c r="C36" s="262">
        <v>128.06045008351089</v>
      </c>
      <c r="D36" s="252">
        <v>138.3028975000349</v>
      </c>
      <c r="E36" s="252">
        <v>153.66656862482088</v>
      </c>
      <c r="F36" s="252">
        <v>170.37583667427884</v>
      </c>
      <c r="G36" s="252">
        <v>185.73950779906482</v>
      </c>
      <c r="H36" s="252">
        <v>201.10317892385075</v>
      </c>
      <c r="I36" s="252">
        <v>216.46685004863684</v>
      </c>
      <c r="J36" s="252">
        <v>231.83052117342277</v>
      </c>
      <c r="K36" s="252">
        <v>247.19419229820875</v>
      </c>
      <c r="L36" s="252">
        <v>262.55786342299473</v>
      </c>
      <c r="M36" s="252">
        <v>277.92153454778065</v>
      </c>
      <c r="N36" s="252">
        <v>294.6308025972387</v>
      </c>
      <c r="O36" s="252">
        <v>309.99447372202474</v>
      </c>
      <c r="P36" s="253">
        <v>325.35814484681055</v>
      </c>
      <c r="Q36" s="253">
        <v>340.72181597159658</v>
      </c>
      <c r="R36" s="253">
        <v>356.08548709638256</v>
      </c>
      <c r="S36" s="253">
        <v>371.44915822116855</v>
      </c>
      <c r="T36" s="253">
        <v>386.81282934595458</v>
      </c>
      <c r="U36" s="253">
        <v>402.17650047074051</v>
      </c>
      <c r="V36" s="252">
        <v>418.88576852019855</v>
      </c>
      <c r="W36" s="252">
        <v>434.24943964498448</v>
      </c>
      <c r="X36" s="253">
        <v>449.6131107697704</v>
      </c>
      <c r="Y36" s="253">
        <v>464.97678189455644</v>
      </c>
      <c r="Z36" s="253">
        <v>480.34045301934242</v>
      </c>
      <c r="AA36" s="253">
        <v>495.70412414412834</v>
      </c>
      <c r="AB36" s="263">
        <v>511.06779526891438</v>
      </c>
      <c r="AC36" s="259" t="s">
        <v>7</v>
      </c>
      <c r="AD36" s="260" t="s">
        <v>7</v>
      </c>
      <c r="AE36" s="260" t="s">
        <v>7</v>
      </c>
      <c r="AF36" s="260" t="s">
        <v>7</v>
      </c>
      <c r="AG36" s="260" t="s">
        <v>7</v>
      </c>
      <c r="AH36" s="261" t="s">
        <v>7</v>
      </c>
    </row>
    <row r="37" spans="2:34" s="184" customFormat="1" ht="15" customHeight="1" x14ac:dyDescent="0.4">
      <c r="B37" s="170">
        <v>1800</v>
      </c>
      <c r="C37" s="262">
        <v>131.33867678470352</v>
      </c>
      <c r="D37" s="252">
        <v>141.94489054649796</v>
      </c>
      <c r="E37" s="252">
        <v>157.85421118918964</v>
      </c>
      <c r="F37" s="252">
        <v>175.23145574970528</v>
      </c>
      <c r="G37" s="252">
        <v>191.14077639239693</v>
      </c>
      <c r="H37" s="252">
        <v>207.05009703508861</v>
      </c>
      <c r="I37" s="252">
        <v>222.95941767778027</v>
      </c>
      <c r="J37" s="252">
        <v>238.86873832047195</v>
      </c>
      <c r="K37" s="252">
        <v>254.77805896316355</v>
      </c>
      <c r="L37" s="252">
        <v>270.6873796058552</v>
      </c>
      <c r="M37" s="252">
        <v>286.59670024854688</v>
      </c>
      <c r="N37" s="252">
        <v>303.97394480906252</v>
      </c>
      <c r="O37" s="252">
        <v>319.88326545175426</v>
      </c>
      <c r="P37" s="253">
        <v>335.79258609444582</v>
      </c>
      <c r="Q37" s="253">
        <v>351.70190673713756</v>
      </c>
      <c r="R37" s="253">
        <v>367.61122737982919</v>
      </c>
      <c r="S37" s="253">
        <v>383.52054802252081</v>
      </c>
      <c r="T37" s="253">
        <v>399.42986866521255</v>
      </c>
      <c r="U37" s="253">
        <v>415.33918930790418</v>
      </c>
      <c r="V37" s="252">
        <v>432.71643386841987</v>
      </c>
      <c r="W37" s="252">
        <v>448.62575451111155</v>
      </c>
      <c r="X37" s="253">
        <v>464.53507515380306</v>
      </c>
      <c r="Y37" s="253">
        <v>480.44439579649475</v>
      </c>
      <c r="Z37" s="253">
        <v>496.35371643918643</v>
      </c>
      <c r="AA37" s="253">
        <v>512.26303708187822</v>
      </c>
      <c r="AB37" s="263">
        <v>528.17235772456968</v>
      </c>
      <c r="AC37" s="259" t="s">
        <v>7</v>
      </c>
      <c r="AD37" s="260" t="s">
        <v>7</v>
      </c>
      <c r="AE37" s="260" t="s">
        <v>7</v>
      </c>
      <c r="AF37" s="260" t="s">
        <v>7</v>
      </c>
      <c r="AG37" s="260" t="s">
        <v>7</v>
      </c>
      <c r="AH37" s="261" t="s">
        <v>7</v>
      </c>
    </row>
    <row r="38" spans="2:34" s="184" customFormat="1" ht="15" customHeight="1" x14ac:dyDescent="0.4">
      <c r="B38" s="170">
        <v>1950</v>
      </c>
      <c r="C38" s="262">
        <v>134.61690348589616</v>
      </c>
      <c r="D38" s="252">
        <v>145.58688359296104</v>
      </c>
      <c r="E38" s="252">
        <v>162.04185375355831</v>
      </c>
      <c r="F38" s="252">
        <v>180.08707482513171</v>
      </c>
      <c r="G38" s="252">
        <v>196.54204498572906</v>
      </c>
      <c r="H38" s="252">
        <v>212.99701514632639</v>
      </c>
      <c r="I38" s="252">
        <v>229.45198530692375</v>
      </c>
      <c r="J38" s="252">
        <v>245.90695546752107</v>
      </c>
      <c r="K38" s="252">
        <v>262.3619256281184</v>
      </c>
      <c r="L38" s="252">
        <v>278.81689578871573</v>
      </c>
      <c r="M38" s="252">
        <v>295.27186594931311</v>
      </c>
      <c r="N38" s="252">
        <v>313.31708702088645</v>
      </c>
      <c r="O38" s="252">
        <v>329.77205718148377</v>
      </c>
      <c r="P38" s="253">
        <v>346.2270273420811</v>
      </c>
      <c r="Q38" s="253">
        <v>362.68199750267848</v>
      </c>
      <c r="R38" s="253">
        <v>379.1369676632757</v>
      </c>
      <c r="S38" s="253">
        <v>395.5919378238732</v>
      </c>
      <c r="T38" s="253">
        <v>412.04690798447058</v>
      </c>
      <c r="U38" s="253">
        <v>428.50187814506779</v>
      </c>
      <c r="V38" s="252">
        <v>446.54709921664124</v>
      </c>
      <c r="W38" s="252">
        <v>463.0020693772384</v>
      </c>
      <c r="X38" s="253">
        <v>479.45703953783578</v>
      </c>
      <c r="Y38" s="253">
        <v>495.91200969843311</v>
      </c>
      <c r="Z38" s="253">
        <v>512.36697985903049</v>
      </c>
      <c r="AA38" s="253">
        <v>528.82195001962782</v>
      </c>
      <c r="AB38" s="263">
        <v>545.27692018022515</v>
      </c>
      <c r="AC38" s="259" t="s">
        <v>7</v>
      </c>
      <c r="AD38" s="260" t="s">
        <v>7</v>
      </c>
      <c r="AE38" s="260" t="s">
        <v>7</v>
      </c>
      <c r="AF38" s="260" t="s">
        <v>7</v>
      </c>
      <c r="AG38" s="260" t="s">
        <v>7</v>
      </c>
      <c r="AH38" s="261" t="s">
        <v>7</v>
      </c>
    </row>
    <row r="39" spans="2:34" s="184" customFormat="1" ht="15" customHeight="1" x14ac:dyDescent="0.4">
      <c r="B39" s="170">
        <v>2100</v>
      </c>
      <c r="C39" s="262">
        <v>137.89513018708874</v>
      </c>
      <c r="D39" s="252">
        <v>149.2288766394241</v>
      </c>
      <c r="E39" s="252">
        <v>166.22949631792713</v>
      </c>
      <c r="F39" s="252">
        <v>184.94269390055817</v>
      </c>
      <c r="G39" s="252">
        <v>201.94331357906117</v>
      </c>
      <c r="H39" s="252">
        <v>218.94393325756417</v>
      </c>
      <c r="I39" s="252">
        <v>235.94455293606723</v>
      </c>
      <c r="J39" s="252">
        <v>252.9451726145702</v>
      </c>
      <c r="K39" s="252">
        <v>269.94579229307323</v>
      </c>
      <c r="L39" s="252">
        <v>286.94641197157631</v>
      </c>
      <c r="M39" s="252">
        <v>303.94703165007928</v>
      </c>
      <c r="N39" s="252">
        <v>322.66022923271032</v>
      </c>
      <c r="O39" s="252">
        <v>339.66084891121329</v>
      </c>
      <c r="P39" s="253">
        <v>356.66146858971632</v>
      </c>
      <c r="Q39" s="253">
        <v>373.66208826821929</v>
      </c>
      <c r="R39" s="253">
        <v>390.66270794672238</v>
      </c>
      <c r="S39" s="253">
        <v>407.66332762522541</v>
      </c>
      <c r="T39" s="253">
        <v>424.66394730372838</v>
      </c>
      <c r="U39" s="253">
        <v>441.66456698223141</v>
      </c>
      <c r="V39" s="252">
        <v>460.37776456486233</v>
      </c>
      <c r="W39" s="252">
        <v>477.37838424336542</v>
      </c>
      <c r="X39" s="253">
        <v>494.37900392186845</v>
      </c>
      <c r="Y39" s="253">
        <v>511.37962360037159</v>
      </c>
      <c r="Z39" s="253">
        <v>528.38024327887456</v>
      </c>
      <c r="AA39" s="253">
        <v>545.38086295737753</v>
      </c>
      <c r="AB39" s="263">
        <v>562.3814826358805</v>
      </c>
      <c r="AC39" s="259" t="s">
        <v>7</v>
      </c>
      <c r="AD39" s="260" t="s">
        <v>7</v>
      </c>
      <c r="AE39" s="260" t="s">
        <v>7</v>
      </c>
      <c r="AF39" s="260" t="s">
        <v>7</v>
      </c>
      <c r="AG39" s="260" t="s">
        <v>7</v>
      </c>
      <c r="AH39" s="261" t="s">
        <v>7</v>
      </c>
    </row>
    <row r="40" spans="2:34" s="184" customFormat="1" ht="15" customHeight="1" x14ac:dyDescent="0.4">
      <c r="B40" s="170">
        <v>2250</v>
      </c>
      <c r="C40" s="262">
        <v>141.17335688828138</v>
      </c>
      <c r="D40" s="252">
        <v>152.87086968588719</v>
      </c>
      <c r="E40" s="252">
        <v>170.41713888229586</v>
      </c>
      <c r="F40" s="252">
        <v>189.7983129759846</v>
      </c>
      <c r="G40" s="252">
        <v>207.34458217239327</v>
      </c>
      <c r="H40" s="252">
        <v>224.89085136880198</v>
      </c>
      <c r="I40" s="252">
        <v>242.43712056521073</v>
      </c>
      <c r="J40" s="252">
        <v>259.98338976161938</v>
      </c>
      <c r="K40" s="252">
        <v>277.52965895802805</v>
      </c>
      <c r="L40" s="252">
        <v>295.07592815443672</v>
      </c>
      <c r="M40" s="252">
        <v>312.62219735084545</v>
      </c>
      <c r="N40" s="252">
        <v>332.0033714445342</v>
      </c>
      <c r="O40" s="252">
        <v>349.54964064094287</v>
      </c>
      <c r="P40" s="253">
        <v>367.09590983735154</v>
      </c>
      <c r="Q40" s="253">
        <v>384.64217903376027</v>
      </c>
      <c r="R40" s="253">
        <v>402.18844823016889</v>
      </c>
      <c r="S40" s="253">
        <v>419.73471742657773</v>
      </c>
      <c r="T40" s="253">
        <v>437.2809866229864</v>
      </c>
      <c r="U40" s="253">
        <v>454.82725581939508</v>
      </c>
      <c r="V40" s="252">
        <v>474.20842991308371</v>
      </c>
      <c r="W40" s="252">
        <v>491.75469910949249</v>
      </c>
      <c r="X40" s="253">
        <v>509.30096830590122</v>
      </c>
      <c r="Y40" s="253">
        <v>526.84723750230989</v>
      </c>
      <c r="Z40" s="253">
        <v>544.39350669871862</v>
      </c>
      <c r="AA40" s="253">
        <v>561.93977589512735</v>
      </c>
      <c r="AB40" s="263">
        <v>579.48604509153586</v>
      </c>
      <c r="AC40" s="259" t="s">
        <v>7</v>
      </c>
      <c r="AD40" s="260" t="s">
        <v>7</v>
      </c>
      <c r="AE40" s="260" t="s">
        <v>7</v>
      </c>
      <c r="AF40" s="260" t="s">
        <v>7</v>
      </c>
      <c r="AG40" s="260" t="s">
        <v>7</v>
      </c>
      <c r="AH40" s="261" t="s">
        <v>7</v>
      </c>
    </row>
    <row r="41" spans="2:34" s="184" customFormat="1" ht="15" customHeight="1" x14ac:dyDescent="0.4">
      <c r="B41" s="170">
        <v>2400</v>
      </c>
      <c r="C41" s="262">
        <v>144.45158358947401</v>
      </c>
      <c r="D41" s="252">
        <v>156.5128627323503</v>
      </c>
      <c r="E41" s="252">
        <v>174.60478144666467</v>
      </c>
      <c r="F41" s="252">
        <v>194.653932051411</v>
      </c>
      <c r="G41" s="252">
        <v>212.74585076572538</v>
      </c>
      <c r="H41" s="252">
        <v>230.83776948003978</v>
      </c>
      <c r="I41" s="252">
        <v>248.92968819435418</v>
      </c>
      <c r="J41" s="252">
        <v>267.02160690866862</v>
      </c>
      <c r="K41" s="252">
        <v>285.11352562298293</v>
      </c>
      <c r="L41" s="252">
        <v>303.20544433729725</v>
      </c>
      <c r="M41" s="252">
        <v>321.29736305161168</v>
      </c>
      <c r="N41" s="252">
        <v>341.34651365635801</v>
      </c>
      <c r="O41" s="252">
        <v>359.4384323706725</v>
      </c>
      <c r="P41" s="253">
        <v>377.53035108498688</v>
      </c>
      <c r="Q41" s="253">
        <v>395.62226979930114</v>
      </c>
      <c r="R41" s="253">
        <v>413.71418851361562</v>
      </c>
      <c r="S41" s="253">
        <v>431.80610722793</v>
      </c>
      <c r="T41" s="253">
        <v>449.89802594224426</v>
      </c>
      <c r="U41" s="253">
        <v>467.98994465655875</v>
      </c>
      <c r="V41" s="252">
        <v>488.03909526130508</v>
      </c>
      <c r="W41" s="252">
        <v>506.13101397561945</v>
      </c>
      <c r="X41" s="253">
        <v>524.22293268993371</v>
      </c>
      <c r="Y41" s="253">
        <v>542.31485140424832</v>
      </c>
      <c r="Z41" s="253">
        <v>560.40677011856258</v>
      </c>
      <c r="AA41" s="253">
        <v>578.49868883287695</v>
      </c>
      <c r="AB41" s="263">
        <v>596.59060754719144</v>
      </c>
      <c r="AC41" s="259" t="s">
        <v>7</v>
      </c>
      <c r="AD41" s="260" t="s">
        <v>7</v>
      </c>
      <c r="AE41" s="260" t="s">
        <v>7</v>
      </c>
      <c r="AF41" s="260" t="s">
        <v>7</v>
      </c>
      <c r="AG41" s="260" t="s">
        <v>7</v>
      </c>
      <c r="AH41" s="261" t="s">
        <v>7</v>
      </c>
    </row>
    <row r="42" spans="2:34" s="184" customFormat="1" ht="15" customHeight="1" x14ac:dyDescent="0.4">
      <c r="B42" s="170">
        <v>2550</v>
      </c>
      <c r="C42" s="262">
        <v>147.72981029066665</v>
      </c>
      <c r="D42" s="252">
        <v>160.15485577881333</v>
      </c>
      <c r="E42" s="252">
        <v>178.79242401103343</v>
      </c>
      <c r="F42" s="252">
        <v>199.50955112683747</v>
      </c>
      <c r="G42" s="252">
        <v>218.14711935905754</v>
      </c>
      <c r="H42" s="252">
        <v>236.78468759127759</v>
      </c>
      <c r="I42" s="252">
        <v>255.42225582349766</v>
      </c>
      <c r="J42" s="252">
        <v>274.05982405571768</v>
      </c>
      <c r="K42" s="252">
        <v>292.69739228793776</v>
      </c>
      <c r="L42" s="252">
        <v>311.33496052015789</v>
      </c>
      <c r="M42" s="252">
        <v>329.97252875237785</v>
      </c>
      <c r="N42" s="252">
        <v>350.689655868182</v>
      </c>
      <c r="O42" s="252">
        <v>369.32722410040196</v>
      </c>
      <c r="P42" s="253">
        <v>387.96479233262204</v>
      </c>
      <c r="Q42" s="253">
        <v>406.60236056484212</v>
      </c>
      <c r="R42" s="253">
        <v>425.23992879706219</v>
      </c>
      <c r="S42" s="253">
        <v>443.87749702928221</v>
      </c>
      <c r="T42" s="253">
        <v>462.51506526150229</v>
      </c>
      <c r="U42" s="253">
        <v>481.15263349372236</v>
      </c>
      <c r="V42" s="252">
        <v>501.8697606095264</v>
      </c>
      <c r="W42" s="252">
        <v>520.50732884174647</v>
      </c>
      <c r="X42" s="253">
        <v>539.1448970739666</v>
      </c>
      <c r="Y42" s="253">
        <v>557.78246530618651</v>
      </c>
      <c r="Z42" s="253">
        <v>576.42003353840664</v>
      </c>
      <c r="AA42" s="253">
        <v>595.05760177062666</v>
      </c>
      <c r="AB42" s="263">
        <v>613.69517000284679</v>
      </c>
      <c r="AC42" s="259" t="s">
        <v>7</v>
      </c>
      <c r="AD42" s="260" t="s">
        <v>7</v>
      </c>
      <c r="AE42" s="260" t="s">
        <v>7</v>
      </c>
      <c r="AF42" s="260" t="s">
        <v>7</v>
      </c>
      <c r="AG42" s="260" t="s">
        <v>7</v>
      </c>
      <c r="AH42" s="261" t="s">
        <v>7</v>
      </c>
    </row>
    <row r="43" spans="2:34" s="184" customFormat="1" ht="15" customHeight="1" x14ac:dyDescent="0.4">
      <c r="B43" s="170">
        <v>2700</v>
      </c>
      <c r="C43" s="262">
        <v>151.00803699185931</v>
      </c>
      <c r="D43" s="252">
        <v>163.79684882527644</v>
      </c>
      <c r="E43" s="252">
        <v>182.98006657540216</v>
      </c>
      <c r="F43" s="252">
        <v>204.3651702022639</v>
      </c>
      <c r="G43" s="252">
        <v>223.5483879523897</v>
      </c>
      <c r="H43" s="252">
        <v>242.73160570251537</v>
      </c>
      <c r="I43" s="252">
        <v>261.91482345264114</v>
      </c>
      <c r="J43" s="252">
        <v>281.09804120276686</v>
      </c>
      <c r="K43" s="252">
        <v>300.28125895289264</v>
      </c>
      <c r="L43" s="252">
        <v>319.46447670301836</v>
      </c>
      <c r="M43" s="252">
        <v>338.64769445314414</v>
      </c>
      <c r="N43" s="252">
        <v>360.03279808000582</v>
      </c>
      <c r="O43" s="252">
        <v>379.2160158301316</v>
      </c>
      <c r="P43" s="253">
        <v>398.39923358025726</v>
      </c>
      <c r="Q43" s="253">
        <v>417.58245133038315</v>
      </c>
      <c r="R43" s="253">
        <v>436.7656690805087</v>
      </c>
      <c r="S43" s="253">
        <v>455.94888683063465</v>
      </c>
      <c r="T43" s="253">
        <v>475.13210458076031</v>
      </c>
      <c r="U43" s="253">
        <v>494.31532233088586</v>
      </c>
      <c r="V43" s="252">
        <v>515.70042595774771</v>
      </c>
      <c r="W43" s="252">
        <v>534.88364370787349</v>
      </c>
      <c r="X43" s="253">
        <v>554.06686145799915</v>
      </c>
      <c r="Y43" s="253">
        <v>573.25007920812482</v>
      </c>
      <c r="Z43" s="253">
        <v>592.43329695825071</v>
      </c>
      <c r="AA43" s="253">
        <v>611.61651470837649</v>
      </c>
      <c r="AB43" s="263">
        <v>630.79973245850226</v>
      </c>
      <c r="AC43" s="259" t="s">
        <v>7</v>
      </c>
      <c r="AD43" s="260" t="s">
        <v>7</v>
      </c>
      <c r="AE43" s="260" t="s">
        <v>7</v>
      </c>
      <c r="AF43" s="260" t="s">
        <v>7</v>
      </c>
      <c r="AG43" s="260" t="s">
        <v>7</v>
      </c>
      <c r="AH43" s="261" t="s">
        <v>7</v>
      </c>
    </row>
    <row r="44" spans="2:34" s="184" customFormat="1" ht="15" customHeight="1" x14ac:dyDescent="0.4">
      <c r="B44" s="170">
        <v>2850</v>
      </c>
      <c r="C44" s="262">
        <v>154.28626369305189</v>
      </c>
      <c r="D44" s="252">
        <v>167.4388418717395</v>
      </c>
      <c r="E44" s="252">
        <v>187.16770913977098</v>
      </c>
      <c r="F44" s="252">
        <v>209.22078927769036</v>
      </c>
      <c r="G44" s="252">
        <v>228.94965654572181</v>
      </c>
      <c r="H44" s="252">
        <v>248.6785238137532</v>
      </c>
      <c r="I44" s="252">
        <v>268.40739108178457</v>
      </c>
      <c r="J44" s="252">
        <v>288.13625834981605</v>
      </c>
      <c r="K44" s="252">
        <v>307.86512561784747</v>
      </c>
      <c r="L44" s="252">
        <v>327.59399288587883</v>
      </c>
      <c r="M44" s="252">
        <v>347.32286015391026</v>
      </c>
      <c r="N44" s="252">
        <v>369.37594029182969</v>
      </c>
      <c r="O44" s="252">
        <v>389.10480755986117</v>
      </c>
      <c r="P44" s="253">
        <v>408.83367482789254</v>
      </c>
      <c r="Q44" s="253">
        <v>428.5625420959239</v>
      </c>
      <c r="R44" s="253">
        <v>448.29140936395538</v>
      </c>
      <c r="S44" s="253">
        <v>468.0202766319868</v>
      </c>
      <c r="T44" s="253">
        <v>487.74914390001828</v>
      </c>
      <c r="U44" s="253">
        <v>507.47801116804959</v>
      </c>
      <c r="V44" s="252">
        <v>529.53109130596908</v>
      </c>
      <c r="W44" s="252">
        <v>549.25995857400051</v>
      </c>
      <c r="X44" s="253">
        <v>568.98882584203193</v>
      </c>
      <c r="Y44" s="253">
        <v>588.71769311006335</v>
      </c>
      <c r="Z44" s="253">
        <v>608.44656037809466</v>
      </c>
      <c r="AA44" s="253">
        <v>628.17542764612631</v>
      </c>
      <c r="AB44" s="263">
        <v>647.9042949141575</v>
      </c>
      <c r="AC44" s="259" t="s">
        <v>7</v>
      </c>
      <c r="AD44" s="260" t="s">
        <v>7</v>
      </c>
      <c r="AE44" s="260" t="s">
        <v>7</v>
      </c>
      <c r="AF44" s="260" t="s">
        <v>7</v>
      </c>
      <c r="AG44" s="260" t="s">
        <v>7</v>
      </c>
      <c r="AH44" s="261" t="s">
        <v>7</v>
      </c>
    </row>
    <row r="45" spans="2:34" s="184" customFormat="1" ht="15" customHeight="1" thickBot="1" x14ac:dyDescent="0.45">
      <c r="B45" s="171">
        <v>3000</v>
      </c>
      <c r="C45" s="264">
        <v>157.5644903942445</v>
      </c>
      <c r="D45" s="255">
        <v>171.08083491820261</v>
      </c>
      <c r="E45" s="255">
        <v>191.35535170413968</v>
      </c>
      <c r="F45" s="255">
        <v>214.07640835311679</v>
      </c>
      <c r="G45" s="255">
        <v>234.35092513905391</v>
      </c>
      <c r="H45" s="255">
        <v>254.62544192499104</v>
      </c>
      <c r="I45" s="255">
        <v>274.89995871092805</v>
      </c>
      <c r="J45" s="255">
        <v>295.17447549686517</v>
      </c>
      <c r="K45" s="255">
        <v>315.44899228280229</v>
      </c>
      <c r="L45" s="255">
        <v>335.7235090687393</v>
      </c>
      <c r="M45" s="255">
        <v>355.99802585467643</v>
      </c>
      <c r="N45" s="255">
        <v>378.71908250365351</v>
      </c>
      <c r="O45" s="255">
        <v>398.99359928959063</v>
      </c>
      <c r="P45" s="256">
        <v>419.26811607552776</v>
      </c>
      <c r="Q45" s="256">
        <v>439.54263286146494</v>
      </c>
      <c r="R45" s="256">
        <v>459.81714964740189</v>
      </c>
      <c r="S45" s="256">
        <v>480.09166643333901</v>
      </c>
      <c r="T45" s="256">
        <v>500.36618321927625</v>
      </c>
      <c r="U45" s="256">
        <v>520.64070000521326</v>
      </c>
      <c r="V45" s="255">
        <v>543.36175665419034</v>
      </c>
      <c r="W45" s="255">
        <v>563.63627344012741</v>
      </c>
      <c r="X45" s="256">
        <v>583.91079022606459</v>
      </c>
      <c r="Y45" s="256">
        <v>604.18530701200154</v>
      </c>
      <c r="Z45" s="256">
        <v>624.45982379793872</v>
      </c>
      <c r="AA45" s="256">
        <v>644.73434058387579</v>
      </c>
      <c r="AB45" s="265">
        <v>665.00885736981286</v>
      </c>
      <c r="AC45" s="266" t="s">
        <v>7</v>
      </c>
      <c r="AD45" s="267" t="s">
        <v>7</v>
      </c>
      <c r="AE45" s="267" t="s">
        <v>7</v>
      </c>
      <c r="AF45" s="267" t="s">
        <v>7</v>
      </c>
      <c r="AG45" s="267" t="s">
        <v>7</v>
      </c>
      <c r="AH45" s="268" t="s">
        <v>7</v>
      </c>
    </row>
    <row r="46" spans="2:34" s="275" customFormat="1" ht="15.9" thickBot="1" x14ac:dyDescent="0.45">
      <c r="B46" s="290" t="s">
        <v>54</v>
      </c>
      <c r="C46" s="291">
        <v>12.233398535170325</v>
      </c>
      <c r="D46" s="2">
        <v>13.389197294910959</v>
      </c>
      <c r="E46" s="2">
        <v>14.544996054651593</v>
      </c>
      <c r="F46" s="1">
        <v>15.700794814392196</v>
      </c>
      <c r="G46" s="2">
        <v>16.856593574132816</v>
      </c>
      <c r="H46" s="1">
        <v>18.012392333873454</v>
      </c>
      <c r="I46" s="2">
        <v>19.168191093614059</v>
      </c>
      <c r="J46" s="1">
        <v>20.323989853354693</v>
      </c>
      <c r="K46" s="2">
        <v>21.479788613095298</v>
      </c>
      <c r="L46" s="1">
        <v>22.635587372835904</v>
      </c>
      <c r="M46" s="2">
        <v>23.791386132576569</v>
      </c>
      <c r="N46" s="1">
        <v>24.947184892317143</v>
      </c>
      <c r="O46" s="2">
        <v>26.10298365205778</v>
      </c>
      <c r="P46" s="1">
        <v>27.258782411798446</v>
      </c>
      <c r="Q46" s="2">
        <v>28.414581171539115</v>
      </c>
      <c r="R46" s="1">
        <v>29.570379931279685</v>
      </c>
      <c r="S46" s="2">
        <v>30.726178691020323</v>
      </c>
      <c r="T46" s="1">
        <v>31.881977450760893</v>
      </c>
      <c r="U46" s="2">
        <v>33.037776210501534</v>
      </c>
      <c r="V46" s="1">
        <v>34.193574970242167</v>
      </c>
      <c r="W46" s="2">
        <v>35.349373729982801</v>
      </c>
      <c r="X46" s="1">
        <v>36.505172489723449</v>
      </c>
      <c r="Y46" s="2">
        <v>37.66097124946409</v>
      </c>
      <c r="Z46" s="1">
        <v>38.816770009204731</v>
      </c>
      <c r="AA46" s="2">
        <v>39.972568768945372</v>
      </c>
      <c r="AB46" s="292">
        <v>41.128367528686013</v>
      </c>
      <c r="AC46" s="266" t="s">
        <v>7</v>
      </c>
      <c r="AD46" s="267" t="s">
        <v>7</v>
      </c>
      <c r="AE46" s="267" t="s">
        <v>7</v>
      </c>
      <c r="AF46" s="267" t="s">
        <v>7</v>
      </c>
      <c r="AG46" s="267" t="s">
        <v>7</v>
      </c>
      <c r="AH46" s="268" t="s">
        <v>7</v>
      </c>
    </row>
    <row r="47" spans="2:34" s="184" customFormat="1" x14ac:dyDescent="0.4"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</row>
    <row r="48" spans="2:34" s="184" customFormat="1" ht="45.9" thickBot="1" x14ac:dyDescent="1.1000000000000001">
      <c r="B48" s="161" t="s">
        <v>39</v>
      </c>
      <c r="C48" s="161"/>
      <c r="D48" s="129"/>
      <c r="E48" s="129"/>
      <c r="F48" s="129"/>
      <c r="G48" s="129"/>
      <c r="H48" s="98"/>
      <c r="I48" s="130"/>
      <c r="J48" s="130"/>
      <c r="K48" s="130"/>
      <c r="L48" s="129"/>
      <c r="M48" s="129"/>
      <c r="N48" s="172"/>
      <c r="O48" s="177"/>
      <c r="P48" s="129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78"/>
      <c r="AB48" s="143"/>
      <c r="AC48" s="143"/>
      <c r="AD48" s="143"/>
      <c r="AE48" s="143"/>
      <c r="AF48" s="143"/>
      <c r="AG48" s="143"/>
      <c r="AH48" s="143"/>
    </row>
    <row r="49" spans="2:34" s="184" customFormat="1" ht="15.9" thickBot="1" x14ac:dyDescent="0.45">
      <c r="B49" s="165"/>
      <c r="C49" s="166">
        <v>800</v>
      </c>
      <c r="D49" s="136">
        <v>900</v>
      </c>
      <c r="E49" s="136">
        <v>1050</v>
      </c>
      <c r="F49" s="135">
        <v>1200</v>
      </c>
      <c r="G49" s="136">
        <v>1350</v>
      </c>
      <c r="H49" s="135">
        <v>1500</v>
      </c>
      <c r="I49" s="136">
        <v>1650</v>
      </c>
      <c r="J49" s="135">
        <v>1800</v>
      </c>
      <c r="K49" s="136">
        <v>1950</v>
      </c>
      <c r="L49" s="135">
        <v>2100</v>
      </c>
      <c r="M49" s="136">
        <v>2250</v>
      </c>
      <c r="N49" s="135">
        <v>2400</v>
      </c>
      <c r="O49" s="136">
        <v>2550</v>
      </c>
      <c r="P49" s="135">
        <v>2700</v>
      </c>
      <c r="Q49" s="136">
        <v>2850</v>
      </c>
      <c r="R49" s="135">
        <v>3000</v>
      </c>
      <c r="S49" s="136">
        <v>3150</v>
      </c>
      <c r="T49" s="135">
        <v>3300</v>
      </c>
      <c r="U49" s="136">
        <v>3450</v>
      </c>
      <c r="V49" s="135">
        <v>3600</v>
      </c>
      <c r="W49" s="136">
        <v>3750</v>
      </c>
      <c r="X49" s="135">
        <v>3900</v>
      </c>
      <c r="Y49" s="136">
        <v>4050</v>
      </c>
      <c r="Z49" s="135">
        <v>4200</v>
      </c>
      <c r="AA49" s="136">
        <v>4350</v>
      </c>
      <c r="AB49" s="167">
        <v>4500</v>
      </c>
      <c r="AC49" s="135">
        <v>4650</v>
      </c>
      <c r="AD49" s="136">
        <v>4800</v>
      </c>
      <c r="AE49" s="136">
        <v>4950</v>
      </c>
      <c r="AF49" s="135">
        <v>5100</v>
      </c>
      <c r="AG49" s="136">
        <v>5250</v>
      </c>
      <c r="AH49" s="137">
        <v>5400</v>
      </c>
    </row>
    <row r="50" spans="2:34" s="184" customFormat="1" ht="15.45" x14ac:dyDescent="0.4">
      <c r="B50" s="169">
        <v>900</v>
      </c>
      <c r="C50" s="257">
        <v>144.24482141171791</v>
      </c>
      <c r="D50" s="249">
        <v>153.34934076197854</v>
      </c>
      <c r="E50" s="249">
        <v>167.0061197873695</v>
      </c>
      <c r="F50" s="249">
        <v>181.36016267372688</v>
      </c>
      <c r="G50" s="249">
        <v>195.01694169911778</v>
      </c>
      <c r="H50" s="249">
        <v>208.67372072450871</v>
      </c>
      <c r="I50" s="249">
        <v>222.3304997498997</v>
      </c>
      <c r="J50" s="249">
        <v>235.98727877529063</v>
      </c>
      <c r="K50" s="249">
        <v>249.64405780068162</v>
      </c>
      <c r="L50" s="249">
        <v>263.3008368260725</v>
      </c>
      <c r="M50" s="249">
        <v>276.95761585146346</v>
      </c>
      <c r="N50" s="249">
        <v>291.31165873782084</v>
      </c>
      <c r="O50" s="249">
        <v>304.96843776321185</v>
      </c>
      <c r="P50" s="250">
        <v>318.62521678860281</v>
      </c>
      <c r="Q50" s="250">
        <v>332.28199581399372</v>
      </c>
      <c r="R50" s="250">
        <v>345.93877483938462</v>
      </c>
      <c r="S50" s="250">
        <v>359.59555386477564</v>
      </c>
      <c r="T50" s="250">
        <v>373.2523328901666</v>
      </c>
      <c r="U50" s="250">
        <v>386.9091119155575</v>
      </c>
      <c r="V50" s="249">
        <v>401.26315480191488</v>
      </c>
      <c r="W50" s="249">
        <v>414.91993382730578</v>
      </c>
      <c r="X50" s="250">
        <v>428.5767128526968</v>
      </c>
      <c r="Y50" s="250">
        <v>442.23349187808776</v>
      </c>
      <c r="Z50" s="250">
        <v>455.89027090347867</v>
      </c>
      <c r="AA50" s="250">
        <v>469.54704992886963</v>
      </c>
      <c r="AB50" s="258">
        <v>483.20382895426064</v>
      </c>
      <c r="AC50" s="249">
        <v>496.8606079796516</v>
      </c>
      <c r="AD50" s="249">
        <v>511.21465086600892</v>
      </c>
      <c r="AE50" s="249">
        <v>524.87142989139988</v>
      </c>
      <c r="AF50" s="249">
        <v>538.52820891679085</v>
      </c>
      <c r="AG50" s="249">
        <v>552.18498794218169</v>
      </c>
      <c r="AH50" s="258">
        <v>565.84176696757265</v>
      </c>
    </row>
    <row r="51" spans="2:34" s="184" customFormat="1" ht="15.45" x14ac:dyDescent="0.4">
      <c r="B51" s="170">
        <v>1050</v>
      </c>
      <c r="C51" s="262">
        <v>147.24186692276214</v>
      </c>
      <c r="D51" s="252">
        <v>156.69196430102971</v>
      </c>
      <c r="E51" s="252">
        <v>170.86711036843104</v>
      </c>
      <c r="F51" s="252">
        <v>185.85573094029323</v>
      </c>
      <c r="G51" s="252">
        <v>200.03087700769456</v>
      </c>
      <c r="H51" s="252">
        <v>214.20602307509586</v>
      </c>
      <c r="I51" s="252">
        <v>228.38116914249724</v>
      </c>
      <c r="J51" s="252">
        <v>242.5563152098986</v>
      </c>
      <c r="K51" s="252">
        <v>256.73146127729996</v>
      </c>
      <c r="L51" s="252">
        <v>270.90660734470134</v>
      </c>
      <c r="M51" s="252">
        <v>285.08175341210261</v>
      </c>
      <c r="N51" s="252">
        <v>300.07037398396483</v>
      </c>
      <c r="O51" s="252">
        <v>314.2455200513661</v>
      </c>
      <c r="P51" s="253">
        <v>328.42066611876749</v>
      </c>
      <c r="Q51" s="253">
        <v>342.59581218616893</v>
      </c>
      <c r="R51" s="253">
        <v>356.77095825357014</v>
      </c>
      <c r="S51" s="253">
        <v>370.94610432097159</v>
      </c>
      <c r="T51" s="253">
        <v>385.12125038837291</v>
      </c>
      <c r="U51" s="253">
        <v>399.29639645577424</v>
      </c>
      <c r="V51" s="252">
        <v>414.28501702763634</v>
      </c>
      <c r="W51" s="252">
        <v>428.46016309503773</v>
      </c>
      <c r="X51" s="253">
        <v>442.63530916243911</v>
      </c>
      <c r="Y51" s="253">
        <v>456.81045522984039</v>
      </c>
      <c r="Z51" s="253">
        <v>470.98560129724177</v>
      </c>
      <c r="AA51" s="253">
        <v>485.16074736464321</v>
      </c>
      <c r="AB51" s="263">
        <v>499.33589343204449</v>
      </c>
      <c r="AC51" s="252">
        <v>513.51103949944581</v>
      </c>
      <c r="AD51" s="252">
        <v>528.49966007130797</v>
      </c>
      <c r="AE51" s="252">
        <v>542.6748061387093</v>
      </c>
      <c r="AF51" s="252">
        <v>556.84995220611063</v>
      </c>
      <c r="AG51" s="252">
        <v>571.02509827351207</v>
      </c>
      <c r="AH51" s="263">
        <v>585.2002443409134</v>
      </c>
    </row>
    <row r="52" spans="2:34" s="184" customFormat="1" ht="15.45" x14ac:dyDescent="0.4">
      <c r="B52" s="170">
        <v>1200</v>
      </c>
      <c r="C52" s="262">
        <v>150.23891243380641</v>
      </c>
      <c r="D52" s="252">
        <v>160.03458784008089</v>
      </c>
      <c r="E52" s="252">
        <v>174.72810094949264</v>
      </c>
      <c r="F52" s="252">
        <v>190.35129920685964</v>
      </c>
      <c r="G52" s="252">
        <v>205.04481231627136</v>
      </c>
      <c r="H52" s="252">
        <v>219.73832542568306</v>
      </c>
      <c r="I52" s="252">
        <v>234.43183853509484</v>
      </c>
      <c r="J52" s="252">
        <v>249.12535164450657</v>
      </c>
      <c r="K52" s="252">
        <v>263.81886475391838</v>
      </c>
      <c r="L52" s="252">
        <v>278.51237786333002</v>
      </c>
      <c r="M52" s="252">
        <v>293.20589097274183</v>
      </c>
      <c r="N52" s="252">
        <v>308.82908923010871</v>
      </c>
      <c r="O52" s="252">
        <v>323.52260233952052</v>
      </c>
      <c r="P52" s="253">
        <v>338.21611544893221</v>
      </c>
      <c r="Q52" s="253">
        <v>352.90962855834397</v>
      </c>
      <c r="R52" s="253">
        <v>367.60314166775566</v>
      </c>
      <c r="S52" s="253">
        <v>382.29665477716748</v>
      </c>
      <c r="T52" s="253">
        <v>396.99016788657923</v>
      </c>
      <c r="U52" s="253">
        <v>411.68368099599093</v>
      </c>
      <c r="V52" s="252">
        <v>427.30687925335798</v>
      </c>
      <c r="W52" s="252">
        <v>442.00039236276967</v>
      </c>
      <c r="X52" s="253">
        <v>456.69390547218137</v>
      </c>
      <c r="Y52" s="253">
        <v>471.38741858159307</v>
      </c>
      <c r="Z52" s="253">
        <v>486.08093169100499</v>
      </c>
      <c r="AA52" s="253">
        <v>500.77444480041663</v>
      </c>
      <c r="AB52" s="263">
        <v>515.46795790982833</v>
      </c>
      <c r="AC52" s="252">
        <v>530.16147101924014</v>
      </c>
      <c r="AD52" s="252">
        <v>545.78466927660702</v>
      </c>
      <c r="AE52" s="252">
        <v>560.47818238601894</v>
      </c>
      <c r="AF52" s="252">
        <v>575.17169549543064</v>
      </c>
      <c r="AG52" s="252">
        <v>589.86520860484234</v>
      </c>
      <c r="AH52" s="263">
        <v>604.55872171425415</v>
      </c>
    </row>
    <row r="53" spans="2:34" s="184" customFormat="1" ht="15.45" x14ac:dyDescent="0.4">
      <c r="B53" s="170">
        <v>1350</v>
      </c>
      <c r="C53" s="262">
        <v>153.23595794485061</v>
      </c>
      <c r="D53" s="252">
        <v>163.37721137913206</v>
      </c>
      <c r="E53" s="252">
        <v>178.58909153055421</v>
      </c>
      <c r="F53" s="252">
        <v>194.84686747342596</v>
      </c>
      <c r="G53" s="252">
        <v>210.05874762484805</v>
      </c>
      <c r="H53" s="252">
        <v>225.27062777627023</v>
      </c>
      <c r="I53" s="252">
        <v>240.48250792769241</v>
      </c>
      <c r="J53" s="252">
        <v>255.69438807911445</v>
      </c>
      <c r="K53" s="252">
        <v>270.90626823053663</v>
      </c>
      <c r="L53" s="252">
        <v>286.1181483819588</v>
      </c>
      <c r="M53" s="252">
        <v>301.33002853338093</v>
      </c>
      <c r="N53" s="252">
        <v>317.58780447625264</v>
      </c>
      <c r="O53" s="252">
        <v>332.79968462767482</v>
      </c>
      <c r="P53" s="253">
        <v>348.01156477909694</v>
      </c>
      <c r="Q53" s="253">
        <v>363.22344493051912</v>
      </c>
      <c r="R53" s="253">
        <v>378.43532508194119</v>
      </c>
      <c r="S53" s="253">
        <v>393.64720523336342</v>
      </c>
      <c r="T53" s="253">
        <v>408.85908538478554</v>
      </c>
      <c r="U53" s="253">
        <v>424.07096553620767</v>
      </c>
      <c r="V53" s="252">
        <v>440.32874147907944</v>
      </c>
      <c r="W53" s="252">
        <v>455.54062163050156</v>
      </c>
      <c r="X53" s="253">
        <v>470.75250178192368</v>
      </c>
      <c r="Y53" s="253">
        <v>485.96438193334581</v>
      </c>
      <c r="Z53" s="253">
        <v>501.17626208476793</v>
      </c>
      <c r="AA53" s="253">
        <v>516.38814223619011</v>
      </c>
      <c r="AB53" s="263">
        <v>531.60002238761228</v>
      </c>
      <c r="AC53" s="252">
        <v>546.81190253903446</v>
      </c>
      <c r="AD53" s="252">
        <v>563.06967848190607</v>
      </c>
      <c r="AE53" s="252">
        <v>578.28155863332813</v>
      </c>
      <c r="AF53" s="252">
        <v>593.49343878475042</v>
      </c>
      <c r="AG53" s="252">
        <v>608.7053189361726</v>
      </c>
      <c r="AH53" s="263">
        <v>623.91719908759467</v>
      </c>
    </row>
    <row r="54" spans="2:34" s="184" customFormat="1" ht="15.45" x14ac:dyDescent="0.4">
      <c r="B54" s="170">
        <v>1500</v>
      </c>
      <c r="C54" s="262">
        <v>156.23300345589487</v>
      </c>
      <c r="D54" s="252">
        <v>166.71983491818324</v>
      </c>
      <c r="E54" s="252">
        <v>182.45008211161581</v>
      </c>
      <c r="F54" s="252">
        <v>199.34243573999234</v>
      </c>
      <c r="G54" s="252">
        <v>215.07268293342486</v>
      </c>
      <c r="H54" s="252">
        <v>230.80293012685738</v>
      </c>
      <c r="I54" s="252">
        <v>246.53317732028992</v>
      </c>
      <c r="J54" s="252">
        <v>262.26342451372244</v>
      </c>
      <c r="K54" s="252">
        <v>277.99367170715499</v>
      </c>
      <c r="L54" s="252">
        <v>293.72391890058753</v>
      </c>
      <c r="M54" s="252">
        <v>309.45416609402008</v>
      </c>
      <c r="N54" s="252">
        <v>326.34651972239658</v>
      </c>
      <c r="O54" s="252">
        <v>342.07676691582913</v>
      </c>
      <c r="P54" s="253">
        <v>357.80701410926167</v>
      </c>
      <c r="Q54" s="253">
        <v>373.53726130269422</v>
      </c>
      <c r="R54" s="253">
        <v>389.26750849612671</v>
      </c>
      <c r="S54" s="253">
        <v>404.99775568955926</v>
      </c>
      <c r="T54" s="253">
        <v>420.7280028829918</v>
      </c>
      <c r="U54" s="253">
        <v>436.45825007642429</v>
      </c>
      <c r="V54" s="252">
        <v>453.3506037048009</v>
      </c>
      <c r="W54" s="252">
        <v>469.08085089823345</v>
      </c>
      <c r="X54" s="253">
        <v>484.811098091666</v>
      </c>
      <c r="Y54" s="253">
        <v>500.54134528509843</v>
      </c>
      <c r="Z54" s="253">
        <v>516.27159247853103</v>
      </c>
      <c r="AA54" s="253">
        <v>532.00183967196358</v>
      </c>
      <c r="AB54" s="263">
        <v>547.73208686539613</v>
      </c>
      <c r="AC54" s="252">
        <v>563.46233405882867</v>
      </c>
      <c r="AD54" s="252">
        <v>580.35468768720523</v>
      </c>
      <c r="AE54" s="252">
        <v>596.08493488063766</v>
      </c>
      <c r="AF54" s="252">
        <v>611.81518207407032</v>
      </c>
      <c r="AG54" s="252">
        <v>627.54542926750287</v>
      </c>
      <c r="AH54" s="263">
        <v>643.2756764609353</v>
      </c>
    </row>
    <row r="55" spans="2:34" s="184" customFormat="1" ht="15" customHeight="1" x14ac:dyDescent="0.4">
      <c r="B55" s="170">
        <v>1650</v>
      </c>
      <c r="C55" s="262">
        <v>159.23004896693917</v>
      </c>
      <c r="D55" s="252">
        <v>170.06245845723438</v>
      </c>
      <c r="E55" s="252">
        <v>186.31107269267733</v>
      </c>
      <c r="F55" s="252">
        <v>203.83800400655869</v>
      </c>
      <c r="G55" s="252">
        <v>220.08661824200158</v>
      </c>
      <c r="H55" s="252">
        <v>236.33523247744452</v>
      </c>
      <c r="I55" s="252">
        <v>252.58384671288749</v>
      </c>
      <c r="J55" s="252">
        <v>268.83246094833044</v>
      </c>
      <c r="K55" s="252">
        <v>285.08107518377329</v>
      </c>
      <c r="L55" s="252">
        <v>301.32968941921621</v>
      </c>
      <c r="M55" s="252">
        <v>317.57830365465924</v>
      </c>
      <c r="N55" s="252">
        <v>335.10523496854051</v>
      </c>
      <c r="O55" s="252">
        <v>351.35384920398343</v>
      </c>
      <c r="P55" s="253">
        <v>367.60246343942634</v>
      </c>
      <c r="Q55" s="253">
        <v>383.85107767486932</v>
      </c>
      <c r="R55" s="253">
        <v>400.09969191031229</v>
      </c>
      <c r="S55" s="253">
        <v>416.34830614575515</v>
      </c>
      <c r="T55" s="253">
        <v>432.59692038119817</v>
      </c>
      <c r="U55" s="253">
        <v>448.84553461664109</v>
      </c>
      <c r="V55" s="252">
        <v>466.37246593052242</v>
      </c>
      <c r="W55" s="252">
        <v>482.62108016596528</v>
      </c>
      <c r="X55" s="253">
        <v>498.8696944014082</v>
      </c>
      <c r="Y55" s="253">
        <v>515.11830863685122</v>
      </c>
      <c r="Z55" s="253">
        <v>531.36692287229403</v>
      </c>
      <c r="AA55" s="253">
        <v>547.61553710773717</v>
      </c>
      <c r="AB55" s="263">
        <v>563.86415134317997</v>
      </c>
      <c r="AC55" s="252">
        <v>580.112765578623</v>
      </c>
      <c r="AD55" s="252">
        <v>597.63969689250416</v>
      </c>
      <c r="AE55" s="252">
        <v>613.88831112794719</v>
      </c>
      <c r="AF55" s="252">
        <v>630.13692536339022</v>
      </c>
      <c r="AG55" s="252">
        <v>646.38553959883302</v>
      </c>
      <c r="AH55" s="263">
        <v>662.63415383427605</v>
      </c>
    </row>
    <row r="56" spans="2:34" s="184" customFormat="1" ht="15" customHeight="1" x14ac:dyDescent="0.4">
      <c r="B56" s="170">
        <v>1800</v>
      </c>
      <c r="C56" s="262">
        <v>162.22709447798337</v>
      </c>
      <c r="D56" s="252">
        <v>173.40508199628562</v>
      </c>
      <c r="E56" s="252">
        <v>190.1720632737389</v>
      </c>
      <c r="F56" s="252">
        <v>208.33357227312504</v>
      </c>
      <c r="G56" s="252">
        <v>225.10055355057835</v>
      </c>
      <c r="H56" s="252">
        <v>241.86753482803172</v>
      </c>
      <c r="I56" s="252">
        <v>258.63451610548503</v>
      </c>
      <c r="J56" s="252">
        <v>275.40149738293837</v>
      </c>
      <c r="K56" s="252">
        <v>292.16847866039171</v>
      </c>
      <c r="L56" s="252">
        <v>308.935459937845</v>
      </c>
      <c r="M56" s="252">
        <v>325.70244121529828</v>
      </c>
      <c r="N56" s="252">
        <v>343.86395021468445</v>
      </c>
      <c r="O56" s="252">
        <v>360.6309314921379</v>
      </c>
      <c r="P56" s="253">
        <v>377.39791276959113</v>
      </c>
      <c r="Q56" s="253">
        <v>394.16489404704453</v>
      </c>
      <c r="R56" s="253">
        <v>410.93187532449781</v>
      </c>
      <c r="S56" s="253">
        <v>427.69885660195109</v>
      </c>
      <c r="T56" s="253">
        <v>444.46583787940449</v>
      </c>
      <c r="U56" s="253">
        <v>461.23281915685777</v>
      </c>
      <c r="V56" s="252">
        <v>479.39432815624389</v>
      </c>
      <c r="W56" s="252">
        <v>496.16130943369717</v>
      </c>
      <c r="X56" s="253">
        <v>512.92829071115057</v>
      </c>
      <c r="Y56" s="253">
        <v>529.69527198860385</v>
      </c>
      <c r="Z56" s="253">
        <v>546.46225326605725</v>
      </c>
      <c r="AA56" s="253">
        <v>563.22923454351053</v>
      </c>
      <c r="AB56" s="263">
        <v>579.9962158209637</v>
      </c>
      <c r="AC56" s="252">
        <v>596.76319709841721</v>
      </c>
      <c r="AD56" s="252">
        <v>614.92470609780332</v>
      </c>
      <c r="AE56" s="252">
        <v>631.69168737525661</v>
      </c>
      <c r="AF56" s="252">
        <v>648.45866865271</v>
      </c>
      <c r="AG56" s="252">
        <v>665.22564993016329</v>
      </c>
      <c r="AH56" s="263">
        <v>681.99263120761657</v>
      </c>
    </row>
    <row r="57" spans="2:34" s="184" customFormat="1" ht="15" customHeight="1" x14ac:dyDescent="0.4">
      <c r="B57" s="170">
        <v>1950</v>
      </c>
      <c r="C57" s="262">
        <v>165.22413998902761</v>
      </c>
      <c r="D57" s="252">
        <v>176.74770553533676</v>
      </c>
      <c r="E57" s="252">
        <v>194.0330538548005</v>
      </c>
      <c r="F57" s="252">
        <v>212.82914053969145</v>
      </c>
      <c r="G57" s="252">
        <v>230.11448885915507</v>
      </c>
      <c r="H57" s="252">
        <v>247.39983717861887</v>
      </c>
      <c r="I57" s="252">
        <v>264.68518549808266</v>
      </c>
      <c r="J57" s="252">
        <v>281.97053381754625</v>
      </c>
      <c r="K57" s="252">
        <v>299.25588213700996</v>
      </c>
      <c r="L57" s="252">
        <v>316.54123045647373</v>
      </c>
      <c r="M57" s="252">
        <v>333.82657877593743</v>
      </c>
      <c r="N57" s="252">
        <v>352.62266546082844</v>
      </c>
      <c r="O57" s="252">
        <v>369.90801378029221</v>
      </c>
      <c r="P57" s="253">
        <v>387.19336209975592</v>
      </c>
      <c r="Q57" s="253">
        <v>404.47871041921951</v>
      </c>
      <c r="R57" s="253">
        <v>421.76405873868327</v>
      </c>
      <c r="S57" s="253">
        <v>439.04940705814698</v>
      </c>
      <c r="T57" s="253">
        <v>456.33475537761075</v>
      </c>
      <c r="U57" s="253">
        <v>473.62010369707446</v>
      </c>
      <c r="V57" s="252">
        <v>492.41619038196546</v>
      </c>
      <c r="W57" s="252">
        <v>509.70153870142912</v>
      </c>
      <c r="X57" s="253">
        <v>526.98688702089282</v>
      </c>
      <c r="Y57" s="253">
        <v>544.27223534035659</v>
      </c>
      <c r="Z57" s="253">
        <v>561.55758365982035</v>
      </c>
      <c r="AA57" s="253">
        <v>578.842931979284</v>
      </c>
      <c r="AB57" s="263">
        <v>596.12828029874777</v>
      </c>
      <c r="AC57" s="252">
        <v>613.41362861821142</v>
      </c>
      <c r="AD57" s="252">
        <v>632.20971530310237</v>
      </c>
      <c r="AE57" s="252">
        <v>649.49506362256614</v>
      </c>
      <c r="AF57" s="252">
        <v>666.7804119420299</v>
      </c>
      <c r="AG57" s="252">
        <v>684.06576026149355</v>
      </c>
      <c r="AH57" s="263">
        <v>701.35110858095732</v>
      </c>
    </row>
    <row r="58" spans="2:34" s="184" customFormat="1" ht="15" customHeight="1" x14ac:dyDescent="0.4">
      <c r="B58" s="170">
        <v>2100</v>
      </c>
      <c r="C58" s="262">
        <v>168.22118550007184</v>
      </c>
      <c r="D58" s="252">
        <v>180.09032907438794</v>
      </c>
      <c r="E58" s="252">
        <v>197.89404443586207</v>
      </c>
      <c r="F58" s="252">
        <v>217.32470880625783</v>
      </c>
      <c r="G58" s="252">
        <v>235.12842416773188</v>
      </c>
      <c r="H58" s="252">
        <v>252.93213952920601</v>
      </c>
      <c r="I58" s="252">
        <v>270.73585489068012</v>
      </c>
      <c r="J58" s="252">
        <v>288.53957025215425</v>
      </c>
      <c r="K58" s="252">
        <v>306.34328561362838</v>
      </c>
      <c r="L58" s="252">
        <v>324.14700097510257</v>
      </c>
      <c r="M58" s="252">
        <v>341.95071633657659</v>
      </c>
      <c r="N58" s="252">
        <v>361.38138070697238</v>
      </c>
      <c r="O58" s="252">
        <v>379.18509606844646</v>
      </c>
      <c r="P58" s="253">
        <v>396.98881142992053</v>
      </c>
      <c r="Q58" s="253">
        <v>414.79252679139466</v>
      </c>
      <c r="R58" s="253">
        <v>432.59624215286891</v>
      </c>
      <c r="S58" s="253">
        <v>450.39995751434304</v>
      </c>
      <c r="T58" s="253">
        <v>468.20367287581701</v>
      </c>
      <c r="U58" s="253">
        <v>486.00738823729114</v>
      </c>
      <c r="V58" s="252">
        <v>505.43805260768693</v>
      </c>
      <c r="W58" s="252">
        <v>523.24176796916106</v>
      </c>
      <c r="X58" s="253">
        <v>541.04548333063508</v>
      </c>
      <c r="Y58" s="253">
        <v>558.84919869210921</v>
      </c>
      <c r="Z58" s="253">
        <v>576.65291405358323</v>
      </c>
      <c r="AA58" s="253">
        <v>594.45662941505748</v>
      </c>
      <c r="AB58" s="263">
        <v>612.26034477653161</v>
      </c>
      <c r="AC58" s="252">
        <v>630.06406013800586</v>
      </c>
      <c r="AD58" s="252">
        <v>649.49472450840165</v>
      </c>
      <c r="AE58" s="252">
        <v>667.29843986987555</v>
      </c>
      <c r="AF58" s="252">
        <v>685.10215523134968</v>
      </c>
      <c r="AG58" s="252">
        <v>702.90587059282382</v>
      </c>
      <c r="AH58" s="263">
        <v>720.70958595429784</v>
      </c>
    </row>
    <row r="59" spans="2:34" s="184" customFormat="1" ht="15" customHeight="1" x14ac:dyDescent="0.4">
      <c r="B59" s="170">
        <v>2250</v>
      </c>
      <c r="C59" s="262">
        <v>171.2182310111161</v>
      </c>
      <c r="D59" s="252">
        <v>183.43295261343911</v>
      </c>
      <c r="E59" s="252">
        <v>201.75503501692364</v>
      </c>
      <c r="F59" s="252">
        <v>221.82027707282413</v>
      </c>
      <c r="G59" s="252">
        <v>240.14235947630871</v>
      </c>
      <c r="H59" s="252">
        <v>258.46444187979318</v>
      </c>
      <c r="I59" s="252">
        <v>276.78652428327774</v>
      </c>
      <c r="J59" s="252">
        <v>295.10860668676224</v>
      </c>
      <c r="K59" s="252">
        <v>313.43068909024674</v>
      </c>
      <c r="L59" s="252">
        <v>331.75277149373125</v>
      </c>
      <c r="M59" s="252">
        <v>350.07485389721575</v>
      </c>
      <c r="N59" s="252">
        <v>370.14009595311626</v>
      </c>
      <c r="O59" s="252">
        <v>388.46217835660082</v>
      </c>
      <c r="P59" s="253">
        <v>406.78426076008532</v>
      </c>
      <c r="Q59" s="253">
        <v>425.10634316356976</v>
      </c>
      <c r="R59" s="253">
        <v>443.42842556705426</v>
      </c>
      <c r="S59" s="253">
        <v>461.75050797053888</v>
      </c>
      <c r="T59" s="253">
        <v>480.07259037402349</v>
      </c>
      <c r="U59" s="253">
        <v>498.39467277750782</v>
      </c>
      <c r="V59" s="252">
        <v>518.45991483340845</v>
      </c>
      <c r="W59" s="252">
        <v>536.78199723689295</v>
      </c>
      <c r="X59" s="253">
        <v>555.10407964037745</v>
      </c>
      <c r="Y59" s="253">
        <v>573.42616204386206</v>
      </c>
      <c r="Z59" s="253">
        <v>591.74824444734645</v>
      </c>
      <c r="AA59" s="253">
        <v>610.07032685083095</v>
      </c>
      <c r="AB59" s="263">
        <v>628.39240925431568</v>
      </c>
      <c r="AC59" s="252">
        <v>646.71449165779995</v>
      </c>
      <c r="AD59" s="252">
        <v>666.77973371370058</v>
      </c>
      <c r="AE59" s="252">
        <v>685.10181611718508</v>
      </c>
      <c r="AF59" s="252">
        <v>703.4238985206697</v>
      </c>
      <c r="AG59" s="252">
        <v>721.74598092415408</v>
      </c>
      <c r="AH59" s="263">
        <v>740.0680633276387</v>
      </c>
    </row>
    <row r="60" spans="2:34" s="184" customFormat="1" ht="15" customHeight="1" x14ac:dyDescent="0.4">
      <c r="B60" s="170">
        <v>2400</v>
      </c>
      <c r="C60" s="262">
        <v>174.21527652216034</v>
      </c>
      <c r="D60" s="252">
        <v>186.77557615249026</v>
      </c>
      <c r="E60" s="252">
        <v>205.61602559798527</v>
      </c>
      <c r="F60" s="252">
        <v>226.31584533939056</v>
      </c>
      <c r="G60" s="252">
        <v>245.15629478488543</v>
      </c>
      <c r="H60" s="252">
        <v>263.99674423038039</v>
      </c>
      <c r="I60" s="252">
        <v>282.83719367587526</v>
      </c>
      <c r="J60" s="252">
        <v>301.67764312137024</v>
      </c>
      <c r="K60" s="252">
        <v>320.51809256686505</v>
      </c>
      <c r="L60" s="252">
        <v>339.35854201235998</v>
      </c>
      <c r="M60" s="252">
        <v>358.19899145785496</v>
      </c>
      <c r="N60" s="252">
        <v>378.89881119926019</v>
      </c>
      <c r="O60" s="252">
        <v>397.73926064475518</v>
      </c>
      <c r="P60" s="253">
        <v>416.5797100902501</v>
      </c>
      <c r="Q60" s="253">
        <v>435.42015953574492</v>
      </c>
      <c r="R60" s="253">
        <v>454.26060898123978</v>
      </c>
      <c r="S60" s="253">
        <v>473.10105842673477</v>
      </c>
      <c r="T60" s="253">
        <v>491.94150787222969</v>
      </c>
      <c r="U60" s="253">
        <v>510.78195731772456</v>
      </c>
      <c r="V60" s="252">
        <v>531.48177705912997</v>
      </c>
      <c r="W60" s="252">
        <v>550.32222650462472</v>
      </c>
      <c r="X60" s="253">
        <v>569.16267595011971</v>
      </c>
      <c r="Y60" s="253">
        <v>588.00312539561457</v>
      </c>
      <c r="Z60" s="253">
        <v>606.84357484110967</v>
      </c>
      <c r="AA60" s="253">
        <v>625.68402428660454</v>
      </c>
      <c r="AB60" s="263">
        <v>644.52447373209941</v>
      </c>
      <c r="AC60" s="252">
        <v>663.36492317759416</v>
      </c>
      <c r="AD60" s="252">
        <v>684.06474291899951</v>
      </c>
      <c r="AE60" s="252">
        <v>702.90519236449461</v>
      </c>
      <c r="AF60" s="252">
        <v>721.74564180998937</v>
      </c>
      <c r="AG60" s="252">
        <v>740.58609125548435</v>
      </c>
      <c r="AH60" s="263">
        <v>759.42654070097933</v>
      </c>
    </row>
    <row r="61" spans="2:34" s="184" customFormat="1" ht="15" customHeight="1" x14ac:dyDescent="0.4">
      <c r="B61" s="170">
        <v>2550</v>
      </c>
      <c r="C61" s="262">
        <v>177.2123220332046</v>
      </c>
      <c r="D61" s="252">
        <v>190.11819969154146</v>
      </c>
      <c r="E61" s="252">
        <v>209.47701617904676</v>
      </c>
      <c r="F61" s="252">
        <v>230.81141360595686</v>
      </c>
      <c r="G61" s="252">
        <v>250.17023009346224</v>
      </c>
      <c r="H61" s="252">
        <v>269.52904658096747</v>
      </c>
      <c r="I61" s="252">
        <v>288.88786306847283</v>
      </c>
      <c r="J61" s="252">
        <v>308.24667955597812</v>
      </c>
      <c r="K61" s="252">
        <v>327.60549604348347</v>
      </c>
      <c r="L61" s="252">
        <v>346.96431253098865</v>
      </c>
      <c r="M61" s="252">
        <v>366.32312901849411</v>
      </c>
      <c r="N61" s="252">
        <v>387.65752644540419</v>
      </c>
      <c r="O61" s="252">
        <v>407.01634293290948</v>
      </c>
      <c r="P61" s="253">
        <v>426.37515942041478</v>
      </c>
      <c r="Q61" s="253">
        <v>445.73397590792001</v>
      </c>
      <c r="R61" s="253">
        <v>465.09279239542531</v>
      </c>
      <c r="S61" s="253">
        <v>484.45160888293066</v>
      </c>
      <c r="T61" s="253">
        <v>503.81042537043606</v>
      </c>
      <c r="U61" s="253">
        <v>523.1692418579413</v>
      </c>
      <c r="V61" s="252">
        <v>544.50363928485149</v>
      </c>
      <c r="W61" s="252">
        <v>563.86245577235672</v>
      </c>
      <c r="X61" s="253">
        <v>583.22127225986208</v>
      </c>
      <c r="Y61" s="253">
        <v>602.58008874736731</v>
      </c>
      <c r="Z61" s="253">
        <v>621.93890523487266</v>
      </c>
      <c r="AA61" s="253">
        <v>641.29772172237801</v>
      </c>
      <c r="AB61" s="263">
        <v>660.65653820988325</v>
      </c>
      <c r="AC61" s="252">
        <v>680.01535469738849</v>
      </c>
      <c r="AD61" s="252">
        <v>701.34975212429867</v>
      </c>
      <c r="AE61" s="252">
        <v>720.70856861180391</v>
      </c>
      <c r="AF61" s="252">
        <v>740.06738509930938</v>
      </c>
      <c r="AG61" s="252">
        <v>759.42620158681473</v>
      </c>
      <c r="AH61" s="263">
        <v>778.78501807431985</v>
      </c>
    </row>
    <row r="62" spans="2:34" s="184" customFormat="1" ht="15" customHeight="1" x14ac:dyDescent="0.4">
      <c r="B62" s="170">
        <v>2700</v>
      </c>
      <c r="C62" s="262">
        <v>180.20936754424883</v>
      </c>
      <c r="D62" s="252">
        <v>193.46082323059264</v>
      </c>
      <c r="E62" s="252">
        <v>213.33800676010833</v>
      </c>
      <c r="F62" s="252">
        <v>235.30698187252324</v>
      </c>
      <c r="G62" s="252">
        <v>255.18416540203893</v>
      </c>
      <c r="H62" s="252">
        <v>275.06134893155468</v>
      </c>
      <c r="I62" s="252">
        <v>294.93853246107039</v>
      </c>
      <c r="J62" s="252">
        <v>314.81571599058606</v>
      </c>
      <c r="K62" s="252">
        <v>334.69289952010178</v>
      </c>
      <c r="L62" s="252">
        <v>354.57008304961749</v>
      </c>
      <c r="M62" s="252">
        <v>374.44726657913321</v>
      </c>
      <c r="N62" s="252">
        <v>396.41624169154812</v>
      </c>
      <c r="O62" s="252">
        <v>416.29342522106379</v>
      </c>
      <c r="P62" s="253">
        <v>436.17060875057956</v>
      </c>
      <c r="Q62" s="253">
        <v>456.04779228009534</v>
      </c>
      <c r="R62" s="253">
        <v>475.92497580961083</v>
      </c>
      <c r="S62" s="253">
        <v>495.80215933912666</v>
      </c>
      <c r="T62" s="253">
        <v>515.67934286864227</v>
      </c>
      <c r="U62" s="253">
        <v>535.55652639815798</v>
      </c>
      <c r="V62" s="252">
        <v>557.52550151057301</v>
      </c>
      <c r="W62" s="252">
        <v>577.40268504008873</v>
      </c>
      <c r="X62" s="253">
        <v>597.27986856960433</v>
      </c>
      <c r="Y62" s="253">
        <v>617.15705209912016</v>
      </c>
      <c r="Z62" s="253">
        <v>637.03423562863577</v>
      </c>
      <c r="AA62" s="253">
        <v>656.9114191581516</v>
      </c>
      <c r="AB62" s="263">
        <v>676.78860268766732</v>
      </c>
      <c r="AC62" s="252">
        <v>696.66578621718259</v>
      </c>
      <c r="AD62" s="252">
        <v>718.63476132959772</v>
      </c>
      <c r="AE62" s="252">
        <v>738.51194485911344</v>
      </c>
      <c r="AF62" s="252">
        <v>758.38912838862927</v>
      </c>
      <c r="AG62" s="252">
        <v>778.26631191814488</v>
      </c>
      <c r="AH62" s="263">
        <v>798.14349544766071</v>
      </c>
    </row>
    <row r="63" spans="2:34" s="184" customFormat="1" ht="15" customHeight="1" x14ac:dyDescent="0.4">
      <c r="B63" s="170">
        <v>2850</v>
      </c>
      <c r="C63" s="262">
        <v>183.2064130552931</v>
      </c>
      <c r="D63" s="252">
        <v>196.80344676964381</v>
      </c>
      <c r="E63" s="252">
        <v>217.19899734116996</v>
      </c>
      <c r="F63" s="252">
        <v>239.80255013908959</v>
      </c>
      <c r="G63" s="252">
        <v>260.19810071061573</v>
      </c>
      <c r="H63" s="252">
        <v>280.59365128214188</v>
      </c>
      <c r="I63" s="252">
        <v>300.98920185366791</v>
      </c>
      <c r="J63" s="252">
        <v>321.38475242519405</v>
      </c>
      <c r="K63" s="252">
        <v>341.78030299672014</v>
      </c>
      <c r="L63" s="252">
        <v>362.17585356824623</v>
      </c>
      <c r="M63" s="252">
        <v>382.57140413977237</v>
      </c>
      <c r="N63" s="252">
        <v>405.17495693769206</v>
      </c>
      <c r="O63" s="252">
        <v>425.5705075092182</v>
      </c>
      <c r="P63" s="253">
        <v>445.96605808074429</v>
      </c>
      <c r="Q63" s="253">
        <v>466.36160865227032</v>
      </c>
      <c r="R63" s="253">
        <v>486.75715922379641</v>
      </c>
      <c r="S63" s="253">
        <v>507.15270979532261</v>
      </c>
      <c r="T63" s="253">
        <v>527.54826036684869</v>
      </c>
      <c r="U63" s="253">
        <v>547.94381093837478</v>
      </c>
      <c r="V63" s="252">
        <v>570.54736373629441</v>
      </c>
      <c r="W63" s="252">
        <v>590.94291430782062</v>
      </c>
      <c r="X63" s="253">
        <v>611.3384648793467</v>
      </c>
      <c r="Y63" s="253">
        <v>631.73401545087279</v>
      </c>
      <c r="Z63" s="253">
        <v>652.12956602239888</v>
      </c>
      <c r="AA63" s="253">
        <v>672.52511659392496</v>
      </c>
      <c r="AB63" s="263">
        <v>692.92066716545105</v>
      </c>
      <c r="AC63" s="252">
        <v>713.31621773697714</v>
      </c>
      <c r="AD63" s="252">
        <v>735.91977053489688</v>
      </c>
      <c r="AE63" s="252">
        <v>756.31532110642308</v>
      </c>
      <c r="AF63" s="252">
        <v>776.71087167794917</v>
      </c>
      <c r="AG63" s="252">
        <v>797.10642224947526</v>
      </c>
      <c r="AH63" s="263">
        <v>817.50197282100123</v>
      </c>
    </row>
    <row r="64" spans="2:34" s="184" customFormat="1" ht="15" customHeight="1" thickBot="1" x14ac:dyDescent="0.45">
      <c r="B64" s="171">
        <v>3000</v>
      </c>
      <c r="C64" s="264">
        <v>186.2034585663373</v>
      </c>
      <c r="D64" s="255">
        <v>200.14607030869504</v>
      </c>
      <c r="E64" s="255">
        <v>221.05998792223144</v>
      </c>
      <c r="F64" s="255">
        <v>244.298118405656</v>
      </c>
      <c r="G64" s="255">
        <v>265.21203601919245</v>
      </c>
      <c r="H64" s="255">
        <v>286.12595363272897</v>
      </c>
      <c r="I64" s="255">
        <v>307.03987124626548</v>
      </c>
      <c r="J64" s="255">
        <v>327.95378885980193</v>
      </c>
      <c r="K64" s="255">
        <v>348.8677064733385</v>
      </c>
      <c r="L64" s="255">
        <v>369.7816240868749</v>
      </c>
      <c r="M64" s="255">
        <v>390.69554170041152</v>
      </c>
      <c r="N64" s="255">
        <v>413.93367218383599</v>
      </c>
      <c r="O64" s="255">
        <v>434.84758979737245</v>
      </c>
      <c r="P64" s="256">
        <v>455.76150741090885</v>
      </c>
      <c r="Q64" s="256">
        <v>476.67542502444553</v>
      </c>
      <c r="R64" s="256">
        <v>497.58934263798182</v>
      </c>
      <c r="S64" s="256">
        <v>518.50326025151833</v>
      </c>
      <c r="T64" s="256">
        <v>539.41717786505501</v>
      </c>
      <c r="U64" s="256">
        <v>560.33109547859135</v>
      </c>
      <c r="V64" s="255">
        <v>583.56922596201605</v>
      </c>
      <c r="W64" s="255">
        <v>604.48314357555239</v>
      </c>
      <c r="X64" s="256">
        <v>625.39706118908896</v>
      </c>
      <c r="Y64" s="256">
        <v>646.31097880262541</v>
      </c>
      <c r="Z64" s="256">
        <v>667.22489641616198</v>
      </c>
      <c r="AA64" s="256">
        <v>688.13881402969855</v>
      </c>
      <c r="AB64" s="265">
        <v>709.05273164323489</v>
      </c>
      <c r="AC64" s="255">
        <v>729.96664925677135</v>
      </c>
      <c r="AD64" s="255">
        <v>753.20477974019593</v>
      </c>
      <c r="AE64" s="255">
        <v>774.11869735373227</v>
      </c>
      <c r="AF64" s="255">
        <v>795.03261496726873</v>
      </c>
      <c r="AG64" s="255">
        <v>815.94653258080541</v>
      </c>
      <c r="AH64" s="265">
        <v>836.86045019434175</v>
      </c>
    </row>
    <row r="65" spans="2:34" s="275" customFormat="1" ht="15.9" thickBot="1" x14ac:dyDescent="0.45">
      <c r="B65" s="290" t="s">
        <v>54</v>
      </c>
      <c r="C65" s="291">
        <v>12.233398535170325</v>
      </c>
      <c r="D65" s="2">
        <v>13.389197294910959</v>
      </c>
      <c r="E65" s="2">
        <v>14.544996054651593</v>
      </c>
      <c r="F65" s="1">
        <v>15.700794814392196</v>
      </c>
      <c r="G65" s="2">
        <v>16.856593574132816</v>
      </c>
      <c r="H65" s="1">
        <v>18.012392333873454</v>
      </c>
      <c r="I65" s="2">
        <v>19.168191093614059</v>
      </c>
      <c r="J65" s="1">
        <v>20.323989853354693</v>
      </c>
      <c r="K65" s="2">
        <v>21.479788613095298</v>
      </c>
      <c r="L65" s="1">
        <v>22.635587372835904</v>
      </c>
      <c r="M65" s="2">
        <v>23.791386132576569</v>
      </c>
      <c r="N65" s="1">
        <v>24.947184892317143</v>
      </c>
      <c r="O65" s="2">
        <v>26.10298365205778</v>
      </c>
      <c r="P65" s="1">
        <v>27.258782411798446</v>
      </c>
      <c r="Q65" s="2">
        <v>28.414581171539115</v>
      </c>
      <c r="R65" s="1">
        <v>29.570379931279685</v>
      </c>
      <c r="S65" s="2">
        <v>30.726178691020323</v>
      </c>
      <c r="T65" s="1">
        <v>31.881977450760893</v>
      </c>
      <c r="U65" s="2">
        <v>33.037776210501534</v>
      </c>
      <c r="V65" s="1">
        <v>34.193574970242167</v>
      </c>
      <c r="W65" s="2">
        <v>35.349373729982801</v>
      </c>
      <c r="X65" s="1">
        <v>36.505172489723449</v>
      </c>
      <c r="Y65" s="2">
        <v>37.66097124946409</v>
      </c>
      <c r="Z65" s="1">
        <v>38.816770009204731</v>
      </c>
      <c r="AA65" s="2">
        <v>39.972568768945372</v>
      </c>
      <c r="AB65" s="292">
        <v>41.128367528686013</v>
      </c>
      <c r="AC65" s="1">
        <v>42.284166288426654</v>
      </c>
      <c r="AD65" s="1">
        <v>43.439965048167295</v>
      </c>
      <c r="AE65" s="1">
        <v>44.595763807907936</v>
      </c>
      <c r="AF65" s="1">
        <v>45.751562567648577</v>
      </c>
      <c r="AG65" s="1">
        <v>46.907361327389218</v>
      </c>
      <c r="AH65" s="292">
        <v>48.063160087129866</v>
      </c>
    </row>
    <row r="66" spans="2:34" s="184" customFormat="1" x14ac:dyDescent="0.4"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</row>
    <row r="67" spans="2:34" s="184" customFormat="1" ht="45.9" thickBot="1" x14ac:dyDescent="1.1000000000000001">
      <c r="B67" s="161" t="s">
        <v>40</v>
      </c>
      <c r="C67" s="161"/>
      <c r="D67" s="129"/>
      <c r="E67" s="129"/>
      <c r="F67" s="129"/>
      <c r="G67" s="129"/>
      <c r="H67" s="98"/>
      <c r="I67" s="130"/>
      <c r="J67" s="130"/>
      <c r="K67" s="130"/>
      <c r="L67" s="129"/>
      <c r="M67" s="129"/>
      <c r="N67" s="172"/>
      <c r="O67" s="177"/>
      <c r="P67" s="129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78"/>
      <c r="AB67" s="143"/>
      <c r="AC67" s="143"/>
      <c r="AD67" s="143"/>
      <c r="AE67" s="143"/>
      <c r="AF67" s="143"/>
      <c r="AG67" s="143"/>
      <c r="AH67" s="143"/>
    </row>
    <row r="68" spans="2:34" s="184" customFormat="1" ht="15.9" thickBot="1" x14ac:dyDescent="0.45">
      <c r="B68" s="165"/>
      <c r="C68" s="166">
        <v>800</v>
      </c>
      <c r="D68" s="136">
        <v>900</v>
      </c>
      <c r="E68" s="136">
        <v>1050</v>
      </c>
      <c r="F68" s="135">
        <v>1200</v>
      </c>
      <c r="G68" s="136">
        <v>1350</v>
      </c>
      <c r="H68" s="135">
        <v>1500</v>
      </c>
      <c r="I68" s="136">
        <v>1650</v>
      </c>
      <c r="J68" s="135">
        <v>1800</v>
      </c>
      <c r="K68" s="136">
        <v>1950</v>
      </c>
      <c r="L68" s="135">
        <v>2100</v>
      </c>
      <c r="M68" s="136">
        <v>2250</v>
      </c>
      <c r="N68" s="135">
        <v>2400</v>
      </c>
      <c r="O68" s="136">
        <v>2550</v>
      </c>
      <c r="P68" s="135">
        <v>2700</v>
      </c>
      <c r="Q68" s="136">
        <v>2850</v>
      </c>
      <c r="R68" s="135">
        <v>3000</v>
      </c>
      <c r="S68" s="136">
        <v>3150</v>
      </c>
      <c r="T68" s="135">
        <v>3300</v>
      </c>
      <c r="U68" s="136">
        <v>3450</v>
      </c>
      <c r="V68" s="135">
        <v>3600</v>
      </c>
      <c r="W68" s="136">
        <v>3750</v>
      </c>
      <c r="X68" s="135">
        <v>3900</v>
      </c>
      <c r="Y68" s="136">
        <v>4050</v>
      </c>
      <c r="Z68" s="135">
        <v>4200</v>
      </c>
      <c r="AA68" s="136">
        <v>4350</v>
      </c>
      <c r="AB68" s="167">
        <v>4500</v>
      </c>
      <c r="AC68" s="135">
        <v>4650</v>
      </c>
      <c r="AD68" s="136">
        <v>4800</v>
      </c>
      <c r="AE68" s="136">
        <v>4950</v>
      </c>
      <c r="AF68" s="135">
        <v>5100</v>
      </c>
      <c r="AG68" s="136">
        <v>5250</v>
      </c>
      <c r="AH68" s="137">
        <v>5400</v>
      </c>
    </row>
    <row r="69" spans="2:34" s="184" customFormat="1" ht="15.45" x14ac:dyDescent="0.4">
      <c r="B69" s="169">
        <v>900</v>
      </c>
      <c r="C69" s="257">
        <v>168.11110122443753</v>
      </c>
      <c r="D69" s="249">
        <v>180.51914074696649</v>
      </c>
      <c r="E69" s="249">
        <v>199.13120003075983</v>
      </c>
      <c r="F69" s="249">
        <v>218.55061746935635</v>
      </c>
      <c r="G69" s="249">
        <v>237.16267675314964</v>
      </c>
      <c r="H69" s="249">
        <v>255.77473603694307</v>
      </c>
      <c r="I69" s="249">
        <v>274.38679532073638</v>
      </c>
      <c r="J69" s="249">
        <v>292.9988546045297</v>
      </c>
      <c r="K69" s="249">
        <v>311.61091388832313</v>
      </c>
      <c r="L69" s="249">
        <v>330.22297317211638</v>
      </c>
      <c r="M69" s="249">
        <v>348.83503245590964</v>
      </c>
      <c r="N69" s="249">
        <v>368.25444989450631</v>
      </c>
      <c r="O69" s="249">
        <v>386.86650917829962</v>
      </c>
      <c r="P69" s="250">
        <v>405.47856846209294</v>
      </c>
      <c r="Q69" s="250">
        <v>424.09062774588631</v>
      </c>
      <c r="R69" s="250">
        <v>442.70268702967957</v>
      </c>
      <c r="S69" s="250">
        <v>461.31474631347288</v>
      </c>
      <c r="T69" s="250">
        <v>479.92680559726631</v>
      </c>
      <c r="U69" s="250">
        <v>498.53886488105974</v>
      </c>
      <c r="V69" s="249">
        <v>517.95828231965618</v>
      </c>
      <c r="W69" s="249">
        <v>536.57034160344961</v>
      </c>
      <c r="X69" s="250">
        <v>555.18240088724281</v>
      </c>
      <c r="Y69" s="250">
        <v>573.79446017103623</v>
      </c>
      <c r="Z69" s="260" t="s">
        <v>7</v>
      </c>
      <c r="AA69" s="260" t="s">
        <v>7</v>
      </c>
      <c r="AB69" s="261" t="s">
        <v>7</v>
      </c>
      <c r="AC69" s="259" t="s">
        <v>7</v>
      </c>
      <c r="AD69" s="260" t="s">
        <v>7</v>
      </c>
      <c r="AE69" s="260" t="s">
        <v>7</v>
      </c>
      <c r="AF69" s="260" t="s">
        <v>7</v>
      </c>
      <c r="AG69" s="260" t="s">
        <v>7</v>
      </c>
      <c r="AH69" s="261" t="s">
        <v>7</v>
      </c>
    </row>
    <row r="70" spans="2:34" s="184" customFormat="1" ht="15.45" x14ac:dyDescent="0.4">
      <c r="B70" s="170">
        <v>1050</v>
      </c>
      <c r="C70" s="262">
        <v>171.58136444775195</v>
      </c>
      <c r="D70" s="252">
        <v>184.38954695007834</v>
      </c>
      <c r="E70" s="252">
        <v>203.60182070356797</v>
      </c>
      <c r="F70" s="252">
        <v>223.75601230432795</v>
      </c>
      <c r="G70" s="252">
        <v>242.96828605781752</v>
      </c>
      <c r="H70" s="252">
        <v>262.18055981130709</v>
      </c>
      <c r="I70" s="252">
        <v>281.39283356479672</v>
      </c>
      <c r="J70" s="252">
        <v>300.60510731828634</v>
      </c>
      <c r="K70" s="252">
        <v>319.81738107177586</v>
      </c>
      <c r="L70" s="252">
        <v>339.02965482526548</v>
      </c>
      <c r="M70" s="252">
        <v>358.24192857875505</v>
      </c>
      <c r="N70" s="252">
        <v>378.39612017951509</v>
      </c>
      <c r="O70" s="252">
        <v>397.60839393300472</v>
      </c>
      <c r="P70" s="253">
        <v>416.82066768649429</v>
      </c>
      <c r="Q70" s="253">
        <v>436.03294143998392</v>
      </c>
      <c r="R70" s="253">
        <v>455.24521519347337</v>
      </c>
      <c r="S70" s="253">
        <v>474.45748894696294</v>
      </c>
      <c r="T70" s="253">
        <v>493.66976270045257</v>
      </c>
      <c r="U70" s="253">
        <v>512.88203645394231</v>
      </c>
      <c r="V70" s="252">
        <v>533.03622805470206</v>
      </c>
      <c r="W70" s="252">
        <v>552.24850180819169</v>
      </c>
      <c r="X70" s="253">
        <v>571.46077556168132</v>
      </c>
      <c r="Y70" s="253">
        <v>590.67304931517094</v>
      </c>
      <c r="Z70" s="260" t="s">
        <v>7</v>
      </c>
      <c r="AA70" s="260" t="s">
        <v>7</v>
      </c>
      <c r="AB70" s="261" t="s">
        <v>7</v>
      </c>
      <c r="AC70" s="259" t="s">
        <v>7</v>
      </c>
      <c r="AD70" s="260" t="s">
        <v>7</v>
      </c>
      <c r="AE70" s="260" t="s">
        <v>7</v>
      </c>
      <c r="AF70" s="260" t="s">
        <v>7</v>
      </c>
      <c r="AG70" s="260" t="s">
        <v>7</v>
      </c>
      <c r="AH70" s="261" t="s">
        <v>7</v>
      </c>
    </row>
    <row r="71" spans="2:34" s="184" customFormat="1" ht="15.45" x14ac:dyDescent="0.4">
      <c r="B71" s="170">
        <v>1200</v>
      </c>
      <c r="C71" s="262">
        <v>175.05162767106631</v>
      </c>
      <c r="D71" s="252">
        <v>188.25995315319025</v>
      </c>
      <c r="E71" s="252">
        <v>208.07244137637608</v>
      </c>
      <c r="F71" s="252">
        <v>228.96140713929952</v>
      </c>
      <c r="G71" s="252">
        <v>248.77389536248538</v>
      </c>
      <c r="H71" s="252">
        <v>268.58638358567117</v>
      </c>
      <c r="I71" s="252">
        <v>288.39887180885705</v>
      </c>
      <c r="J71" s="252">
        <v>308.21136003204288</v>
      </c>
      <c r="K71" s="252">
        <v>328.0238482552287</v>
      </c>
      <c r="L71" s="252">
        <v>347.83633647841458</v>
      </c>
      <c r="M71" s="252">
        <v>367.64882470160029</v>
      </c>
      <c r="N71" s="252">
        <v>388.53779046452388</v>
      </c>
      <c r="O71" s="252">
        <v>408.35027868770965</v>
      </c>
      <c r="P71" s="253">
        <v>428.16276691089553</v>
      </c>
      <c r="Q71" s="253">
        <v>447.97525513408129</v>
      </c>
      <c r="R71" s="253">
        <v>467.78774335726712</v>
      </c>
      <c r="S71" s="253">
        <v>487.60023158045294</v>
      </c>
      <c r="T71" s="253">
        <v>507.41271980363894</v>
      </c>
      <c r="U71" s="253">
        <v>527.22520802682459</v>
      </c>
      <c r="V71" s="252">
        <v>548.11417378974807</v>
      </c>
      <c r="W71" s="252">
        <v>567.92666201293389</v>
      </c>
      <c r="X71" s="253">
        <v>587.73915023611983</v>
      </c>
      <c r="Y71" s="253">
        <v>607.55163845930565</v>
      </c>
      <c r="Z71" s="260" t="s">
        <v>7</v>
      </c>
      <c r="AA71" s="260" t="s">
        <v>7</v>
      </c>
      <c r="AB71" s="261" t="s">
        <v>7</v>
      </c>
      <c r="AC71" s="259" t="s">
        <v>7</v>
      </c>
      <c r="AD71" s="260" t="s">
        <v>7</v>
      </c>
      <c r="AE71" s="260" t="s">
        <v>7</v>
      </c>
      <c r="AF71" s="260" t="s">
        <v>7</v>
      </c>
      <c r="AG71" s="260" t="s">
        <v>7</v>
      </c>
      <c r="AH71" s="261" t="s">
        <v>7</v>
      </c>
    </row>
    <row r="72" spans="2:34" s="184" customFormat="1" ht="15.45" x14ac:dyDescent="0.4">
      <c r="B72" s="170">
        <v>1350</v>
      </c>
      <c r="C72" s="262">
        <v>178.52189089438076</v>
      </c>
      <c r="D72" s="252">
        <v>192.13035935630214</v>
      </c>
      <c r="E72" s="252">
        <v>212.54306204918421</v>
      </c>
      <c r="F72" s="252">
        <v>234.16680197427107</v>
      </c>
      <c r="G72" s="252">
        <v>254.5795046671532</v>
      </c>
      <c r="H72" s="252">
        <v>274.99220736003525</v>
      </c>
      <c r="I72" s="252">
        <v>295.40491005291733</v>
      </c>
      <c r="J72" s="252">
        <v>315.81761274579941</v>
      </c>
      <c r="K72" s="252">
        <v>336.23031543868149</v>
      </c>
      <c r="L72" s="252">
        <v>356.64301813156362</v>
      </c>
      <c r="M72" s="252">
        <v>377.0557208244457</v>
      </c>
      <c r="N72" s="252">
        <v>398.67946074953267</v>
      </c>
      <c r="O72" s="252">
        <v>419.09216344241469</v>
      </c>
      <c r="P72" s="253">
        <v>439.50486613529677</v>
      </c>
      <c r="Q72" s="253">
        <v>459.91756882817884</v>
      </c>
      <c r="R72" s="253">
        <v>480.33027152106092</v>
      </c>
      <c r="S72" s="253">
        <v>500.742974213943</v>
      </c>
      <c r="T72" s="253">
        <v>521.15567690682508</v>
      </c>
      <c r="U72" s="253">
        <v>541.56837959970721</v>
      </c>
      <c r="V72" s="252">
        <v>563.19211952479395</v>
      </c>
      <c r="W72" s="252">
        <v>583.6048222176762</v>
      </c>
      <c r="X72" s="253">
        <v>604.01752491055811</v>
      </c>
      <c r="Y72" s="253">
        <v>624.43022760344036</v>
      </c>
      <c r="Z72" s="260" t="s">
        <v>7</v>
      </c>
      <c r="AA72" s="260" t="s">
        <v>7</v>
      </c>
      <c r="AB72" s="261" t="s">
        <v>7</v>
      </c>
      <c r="AC72" s="259" t="s">
        <v>7</v>
      </c>
      <c r="AD72" s="260" t="s">
        <v>7</v>
      </c>
      <c r="AE72" s="260" t="s">
        <v>7</v>
      </c>
      <c r="AF72" s="260" t="s">
        <v>7</v>
      </c>
      <c r="AG72" s="260" t="s">
        <v>7</v>
      </c>
      <c r="AH72" s="261" t="s">
        <v>7</v>
      </c>
    </row>
    <row r="73" spans="2:34" s="184" customFormat="1" ht="15.45" x14ac:dyDescent="0.4">
      <c r="B73" s="170">
        <v>1500</v>
      </c>
      <c r="C73" s="262">
        <v>181.99215411769515</v>
      </c>
      <c r="D73" s="252">
        <v>196.00076555941402</v>
      </c>
      <c r="E73" s="252">
        <v>217.01368272199235</v>
      </c>
      <c r="F73" s="252">
        <v>239.37219680924269</v>
      </c>
      <c r="G73" s="252">
        <v>260.385113971821</v>
      </c>
      <c r="H73" s="252">
        <v>281.39803113439928</v>
      </c>
      <c r="I73" s="252">
        <v>302.41094829697772</v>
      </c>
      <c r="J73" s="252">
        <v>323.42386545955605</v>
      </c>
      <c r="K73" s="252">
        <v>344.43678262213433</v>
      </c>
      <c r="L73" s="252">
        <v>365.44969978471272</v>
      </c>
      <c r="M73" s="252">
        <v>386.46261694729105</v>
      </c>
      <c r="N73" s="252">
        <v>408.82113103454134</v>
      </c>
      <c r="O73" s="252">
        <v>429.83404819711978</v>
      </c>
      <c r="P73" s="253">
        <v>450.84696535969806</v>
      </c>
      <c r="Q73" s="253">
        <v>471.85988252227634</v>
      </c>
      <c r="R73" s="253">
        <v>492.87279968485461</v>
      </c>
      <c r="S73" s="253">
        <v>513.88571684743283</v>
      </c>
      <c r="T73" s="253">
        <v>534.89863401001139</v>
      </c>
      <c r="U73" s="253">
        <v>555.91155117258972</v>
      </c>
      <c r="V73" s="252">
        <v>578.27006525983995</v>
      </c>
      <c r="W73" s="252">
        <v>599.28298242241829</v>
      </c>
      <c r="X73" s="253">
        <v>620.2958995849965</v>
      </c>
      <c r="Y73" s="253">
        <v>641.30881674757507</v>
      </c>
      <c r="Z73" s="260" t="s">
        <v>7</v>
      </c>
      <c r="AA73" s="260" t="s">
        <v>7</v>
      </c>
      <c r="AB73" s="261" t="s">
        <v>7</v>
      </c>
      <c r="AC73" s="259" t="s">
        <v>7</v>
      </c>
      <c r="AD73" s="260" t="s">
        <v>7</v>
      </c>
      <c r="AE73" s="260" t="s">
        <v>7</v>
      </c>
      <c r="AF73" s="260" t="s">
        <v>7</v>
      </c>
      <c r="AG73" s="260" t="s">
        <v>7</v>
      </c>
      <c r="AH73" s="261" t="s">
        <v>7</v>
      </c>
    </row>
    <row r="74" spans="2:34" s="184" customFormat="1" ht="15" customHeight="1" x14ac:dyDescent="0.4">
      <c r="B74" s="170">
        <v>1650</v>
      </c>
      <c r="C74" s="262">
        <v>185.46241734100951</v>
      </c>
      <c r="D74" s="252">
        <v>199.8711717625259</v>
      </c>
      <c r="E74" s="252">
        <v>221.48430339480055</v>
      </c>
      <c r="F74" s="252">
        <v>244.57759164421432</v>
      </c>
      <c r="G74" s="252">
        <v>266.19072327648882</v>
      </c>
      <c r="H74" s="252">
        <v>287.80385490876336</v>
      </c>
      <c r="I74" s="252">
        <v>309.41698654103794</v>
      </c>
      <c r="J74" s="252">
        <v>331.0301181733127</v>
      </c>
      <c r="K74" s="252">
        <v>352.64324980558723</v>
      </c>
      <c r="L74" s="252">
        <v>374.25638143786176</v>
      </c>
      <c r="M74" s="252">
        <v>395.86951307013641</v>
      </c>
      <c r="N74" s="252">
        <v>418.96280131955018</v>
      </c>
      <c r="O74" s="252">
        <v>440.57593295182465</v>
      </c>
      <c r="P74" s="253">
        <v>462.1890645840993</v>
      </c>
      <c r="Q74" s="253">
        <v>483.80219621637383</v>
      </c>
      <c r="R74" s="253">
        <v>505.41532784864842</v>
      </c>
      <c r="S74" s="253">
        <v>527.02845948092295</v>
      </c>
      <c r="T74" s="253">
        <v>548.64159111319748</v>
      </c>
      <c r="U74" s="253">
        <v>570.25472274547212</v>
      </c>
      <c r="V74" s="252">
        <v>593.34801099488607</v>
      </c>
      <c r="W74" s="252">
        <v>614.9611426271606</v>
      </c>
      <c r="X74" s="253">
        <v>636.57427425943513</v>
      </c>
      <c r="Y74" s="253">
        <v>658.18740589170966</v>
      </c>
      <c r="Z74" s="260" t="s">
        <v>7</v>
      </c>
      <c r="AA74" s="260" t="s">
        <v>7</v>
      </c>
      <c r="AB74" s="261" t="s">
        <v>7</v>
      </c>
      <c r="AC74" s="259" t="s">
        <v>7</v>
      </c>
      <c r="AD74" s="260" t="s">
        <v>7</v>
      </c>
      <c r="AE74" s="260" t="s">
        <v>7</v>
      </c>
      <c r="AF74" s="260" t="s">
        <v>7</v>
      </c>
      <c r="AG74" s="260" t="s">
        <v>7</v>
      </c>
      <c r="AH74" s="261" t="s">
        <v>7</v>
      </c>
    </row>
    <row r="75" spans="2:34" s="184" customFormat="1" ht="15" customHeight="1" x14ac:dyDescent="0.4">
      <c r="B75" s="170">
        <v>1800</v>
      </c>
      <c r="C75" s="262">
        <v>188.9326805643239</v>
      </c>
      <c r="D75" s="252">
        <v>203.74157796563779</v>
      </c>
      <c r="E75" s="252">
        <v>225.9549240676086</v>
      </c>
      <c r="F75" s="252">
        <v>249.78298647918592</v>
      </c>
      <c r="G75" s="252">
        <v>271.99633258115671</v>
      </c>
      <c r="H75" s="252">
        <v>294.20967868312749</v>
      </c>
      <c r="I75" s="252">
        <v>316.42302478509833</v>
      </c>
      <c r="J75" s="252">
        <v>338.63637088706918</v>
      </c>
      <c r="K75" s="252">
        <v>360.84971698903996</v>
      </c>
      <c r="L75" s="252">
        <v>383.0630630910108</v>
      </c>
      <c r="M75" s="252">
        <v>405.27640919298165</v>
      </c>
      <c r="N75" s="252">
        <v>429.10447160455891</v>
      </c>
      <c r="O75" s="252">
        <v>451.31781770652975</v>
      </c>
      <c r="P75" s="253">
        <v>473.53116380850054</v>
      </c>
      <c r="Q75" s="253">
        <v>495.74450991047149</v>
      </c>
      <c r="R75" s="253">
        <v>517.95785601244222</v>
      </c>
      <c r="S75" s="253">
        <v>540.17120211441306</v>
      </c>
      <c r="T75" s="253">
        <v>562.38454821638379</v>
      </c>
      <c r="U75" s="253">
        <v>584.59789431835463</v>
      </c>
      <c r="V75" s="252">
        <v>608.42595672993195</v>
      </c>
      <c r="W75" s="252">
        <v>630.6393028319028</v>
      </c>
      <c r="X75" s="253">
        <v>652.85264893387364</v>
      </c>
      <c r="Y75" s="253">
        <v>675.06599503584448</v>
      </c>
      <c r="Z75" s="260" t="s">
        <v>7</v>
      </c>
      <c r="AA75" s="260" t="s">
        <v>7</v>
      </c>
      <c r="AB75" s="261" t="s">
        <v>7</v>
      </c>
      <c r="AC75" s="259" t="s">
        <v>7</v>
      </c>
      <c r="AD75" s="260" t="s">
        <v>7</v>
      </c>
      <c r="AE75" s="260" t="s">
        <v>7</v>
      </c>
      <c r="AF75" s="260" t="s">
        <v>7</v>
      </c>
      <c r="AG75" s="260" t="s">
        <v>7</v>
      </c>
      <c r="AH75" s="261" t="s">
        <v>7</v>
      </c>
    </row>
    <row r="76" spans="2:34" s="184" customFormat="1" ht="15" customHeight="1" x14ac:dyDescent="0.4">
      <c r="B76" s="170">
        <v>1950</v>
      </c>
      <c r="C76" s="262">
        <v>192.40294378763832</v>
      </c>
      <c r="D76" s="252">
        <v>207.61198416874964</v>
      </c>
      <c r="E76" s="252">
        <v>230.4255447404168</v>
      </c>
      <c r="F76" s="252">
        <v>254.98838131415749</v>
      </c>
      <c r="G76" s="252">
        <v>277.80194188582453</v>
      </c>
      <c r="H76" s="252">
        <v>300.61550245749152</v>
      </c>
      <c r="I76" s="252">
        <v>323.42906302915873</v>
      </c>
      <c r="J76" s="252">
        <v>346.24262360082577</v>
      </c>
      <c r="K76" s="252">
        <v>369.05618417249286</v>
      </c>
      <c r="L76" s="252">
        <v>391.8697447441599</v>
      </c>
      <c r="M76" s="252">
        <v>414.683305315827</v>
      </c>
      <c r="N76" s="252">
        <v>439.24614188956764</v>
      </c>
      <c r="O76" s="252">
        <v>462.05970246123468</v>
      </c>
      <c r="P76" s="253">
        <v>484.87326303290178</v>
      </c>
      <c r="Q76" s="253">
        <v>507.68682360456881</v>
      </c>
      <c r="R76" s="253">
        <v>530.50038417623603</v>
      </c>
      <c r="S76" s="253">
        <v>553.31394474790295</v>
      </c>
      <c r="T76" s="253">
        <v>576.12750531957022</v>
      </c>
      <c r="U76" s="253">
        <v>598.94106589123726</v>
      </c>
      <c r="V76" s="252">
        <v>623.50390246497784</v>
      </c>
      <c r="W76" s="252">
        <v>646.31746303664488</v>
      </c>
      <c r="X76" s="253">
        <v>669.13102360831192</v>
      </c>
      <c r="Y76" s="253">
        <v>691.94458417997907</v>
      </c>
      <c r="Z76" s="260" t="s">
        <v>7</v>
      </c>
      <c r="AA76" s="260" t="s">
        <v>7</v>
      </c>
      <c r="AB76" s="261" t="s">
        <v>7</v>
      </c>
      <c r="AC76" s="259" t="s">
        <v>7</v>
      </c>
      <c r="AD76" s="260" t="s">
        <v>7</v>
      </c>
      <c r="AE76" s="260" t="s">
        <v>7</v>
      </c>
      <c r="AF76" s="260" t="s">
        <v>7</v>
      </c>
      <c r="AG76" s="260" t="s">
        <v>7</v>
      </c>
      <c r="AH76" s="261" t="s">
        <v>7</v>
      </c>
    </row>
    <row r="77" spans="2:34" s="184" customFormat="1" ht="15" customHeight="1" x14ac:dyDescent="0.4">
      <c r="B77" s="170">
        <v>2100</v>
      </c>
      <c r="C77" s="262">
        <v>195.87320701095271</v>
      </c>
      <c r="D77" s="252">
        <v>211.48239037186158</v>
      </c>
      <c r="E77" s="252">
        <v>234.89616541322494</v>
      </c>
      <c r="F77" s="252">
        <v>260.19377614912906</v>
      </c>
      <c r="G77" s="252">
        <v>283.60755119049236</v>
      </c>
      <c r="H77" s="252">
        <v>307.02132623185565</v>
      </c>
      <c r="I77" s="252">
        <v>330.43510127321889</v>
      </c>
      <c r="J77" s="252">
        <v>353.84887631458236</v>
      </c>
      <c r="K77" s="252">
        <v>377.26265135594565</v>
      </c>
      <c r="L77" s="252">
        <v>400.67642639730894</v>
      </c>
      <c r="M77" s="252">
        <v>424.09020143867224</v>
      </c>
      <c r="N77" s="252">
        <v>449.38781217457654</v>
      </c>
      <c r="O77" s="252">
        <v>472.80158721593966</v>
      </c>
      <c r="P77" s="253">
        <v>496.21536225730307</v>
      </c>
      <c r="Q77" s="253">
        <v>519.62913729866636</v>
      </c>
      <c r="R77" s="253">
        <v>543.04291234002972</v>
      </c>
      <c r="S77" s="253">
        <v>566.45668738139295</v>
      </c>
      <c r="T77" s="253">
        <v>589.8704624227563</v>
      </c>
      <c r="U77" s="253">
        <v>613.28423746411966</v>
      </c>
      <c r="V77" s="252">
        <v>638.58184820002373</v>
      </c>
      <c r="W77" s="252">
        <v>661.99562324138708</v>
      </c>
      <c r="X77" s="253">
        <v>685.40939828275043</v>
      </c>
      <c r="Y77" s="253">
        <v>708.82317332411401</v>
      </c>
      <c r="Z77" s="260" t="s">
        <v>7</v>
      </c>
      <c r="AA77" s="260" t="s">
        <v>7</v>
      </c>
      <c r="AB77" s="261" t="s">
        <v>7</v>
      </c>
      <c r="AC77" s="259" t="s">
        <v>7</v>
      </c>
      <c r="AD77" s="260" t="s">
        <v>7</v>
      </c>
      <c r="AE77" s="260" t="s">
        <v>7</v>
      </c>
      <c r="AF77" s="260" t="s">
        <v>7</v>
      </c>
      <c r="AG77" s="260" t="s">
        <v>7</v>
      </c>
      <c r="AH77" s="261" t="s">
        <v>7</v>
      </c>
    </row>
    <row r="78" spans="2:34" s="184" customFormat="1" ht="15" customHeight="1" x14ac:dyDescent="0.4">
      <c r="B78" s="170">
        <v>2250</v>
      </c>
      <c r="C78" s="262">
        <v>199.3434702342671</v>
      </c>
      <c r="D78" s="252">
        <v>215.35279657497347</v>
      </c>
      <c r="E78" s="252">
        <v>239.36678608603302</v>
      </c>
      <c r="F78" s="252">
        <v>265.39917098410058</v>
      </c>
      <c r="G78" s="252">
        <v>289.41316049516018</v>
      </c>
      <c r="H78" s="252">
        <v>313.42715000621973</v>
      </c>
      <c r="I78" s="252">
        <v>337.44113951727934</v>
      </c>
      <c r="J78" s="252">
        <v>361.45512902833889</v>
      </c>
      <c r="K78" s="252">
        <v>385.46911853939844</v>
      </c>
      <c r="L78" s="252">
        <v>409.48310805045799</v>
      </c>
      <c r="M78" s="252">
        <v>433.49709756151753</v>
      </c>
      <c r="N78" s="252">
        <v>459.52948245958521</v>
      </c>
      <c r="O78" s="252">
        <v>483.5434719706447</v>
      </c>
      <c r="P78" s="253">
        <v>507.55746148170431</v>
      </c>
      <c r="Q78" s="253">
        <v>531.57145099276397</v>
      </c>
      <c r="R78" s="253">
        <v>555.58544050382352</v>
      </c>
      <c r="S78" s="253">
        <v>579.59943001488307</v>
      </c>
      <c r="T78" s="253">
        <v>603.61341952594273</v>
      </c>
      <c r="U78" s="253">
        <v>627.62740903700228</v>
      </c>
      <c r="V78" s="252">
        <v>653.65979393506984</v>
      </c>
      <c r="W78" s="252">
        <v>677.67378344612939</v>
      </c>
      <c r="X78" s="253">
        <v>701.68777295718894</v>
      </c>
      <c r="Y78" s="253">
        <v>725.70176246824849</v>
      </c>
      <c r="Z78" s="260" t="s">
        <v>7</v>
      </c>
      <c r="AA78" s="260" t="s">
        <v>7</v>
      </c>
      <c r="AB78" s="261" t="s">
        <v>7</v>
      </c>
      <c r="AC78" s="259" t="s">
        <v>7</v>
      </c>
      <c r="AD78" s="260" t="s">
        <v>7</v>
      </c>
      <c r="AE78" s="260" t="s">
        <v>7</v>
      </c>
      <c r="AF78" s="260" t="s">
        <v>7</v>
      </c>
      <c r="AG78" s="260" t="s">
        <v>7</v>
      </c>
      <c r="AH78" s="261" t="s">
        <v>7</v>
      </c>
    </row>
    <row r="79" spans="2:34" s="184" customFormat="1" ht="15" customHeight="1" x14ac:dyDescent="0.4">
      <c r="B79" s="170">
        <v>2400</v>
      </c>
      <c r="C79" s="260" t="s">
        <v>7</v>
      </c>
      <c r="D79" s="260" t="s">
        <v>7</v>
      </c>
      <c r="E79" s="260" t="s">
        <v>7</v>
      </c>
      <c r="F79" s="260" t="s">
        <v>7</v>
      </c>
      <c r="G79" s="260" t="s">
        <v>7</v>
      </c>
      <c r="H79" s="260" t="s">
        <v>7</v>
      </c>
      <c r="I79" s="260" t="s">
        <v>7</v>
      </c>
      <c r="J79" s="260" t="s">
        <v>7</v>
      </c>
      <c r="K79" s="260" t="s">
        <v>7</v>
      </c>
      <c r="L79" s="260" t="s">
        <v>7</v>
      </c>
      <c r="M79" s="260" t="s">
        <v>7</v>
      </c>
      <c r="N79" s="260" t="s">
        <v>7</v>
      </c>
      <c r="O79" s="260" t="s">
        <v>7</v>
      </c>
      <c r="P79" s="260" t="s">
        <v>7</v>
      </c>
      <c r="Q79" s="260" t="s">
        <v>7</v>
      </c>
      <c r="R79" s="260" t="s">
        <v>7</v>
      </c>
      <c r="S79" s="260" t="s">
        <v>7</v>
      </c>
      <c r="T79" s="260" t="s">
        <v>7</v>
      </c>
      <c r="U79" s="260" t="s">
        <v>7</v>
      </c>
      <c r="V79" s="260" t="s">
        <v>7</v>
      </c>
      <c r="W79" s="260" t="s">
        <v>7</v>
      </c>
      <c r="X79" s="260" t="s">
        <v>7</v>
      </c>
      <c r="Y79" s="260" t="s">
        <v>7</v>
      </c>
      <c r="Z79" s="260" t="s">
        <v>7</v>
      </c>
      <c r="AA79" s="260" t="s">
        <v>7</v>
      </c>
      <c r="AB79" s="261" t="s">
        <v>7</v>
      </c>
      <c r="AC79" s="259" t="s">
        <v>7</v>
      </c>
      <c r="AD79" s="260" t="s">
        <v>7</v>
      </c>
      <c r="AE79" s="260" t="s">
        <v>7</v>
      </c>
      <c r="AF79" s="260" t="s">
        <v>7</v>
      </c>
      <c r="AG79" s="260" t="s">
        <v>7</v>
      </c>
      <c r="AH79" s="261" t="s">
        <v>7</v>
      </c>
    </row>
    <row r="80" spans="2:34" s="184" customFormat="1" ht="15" customHeight="1" x14ac:dyDescent="0.4">
      <c r="B80" s="170">
        <v>2550</v>
      </c>
      <c r="C80" s="260" t="s">
        <v>7</v>
      </c>
      <c r="D80" s="260" t="s">
        <v>7</v>
      </c>
      <c r="E80" s="260" t="s">
        <v>7</v>
      </c>
      <c r="F80" s="260" t="s">
        <v>7</v>
      </c>
      <c r="G80" s="260" t="s">
        <v>7</v>
      </c>
      <c r="H80" s="260" t="s">
        <v>7</v>
      </c>
      <c r="I80" s="260" t="s">
        <v>7</v>
      </c>
      <c r="J80" s="260" t="s">
        <v>7</v>
      </c>
      <c r="K80" s="260" t="s">
        <v>7</v>
      </c>
      <c r="L80" s="260" t="s">
        <v>7</v>
      </c>
      <c r="M80" s="260" t="s">
        <v>7</v>
      </c>
      <c r="N80" s="260" t="s">
        <v>7</v>
      </c>
      <c r="O80" s="260" t="s">
        <v>7</v>
      </c>
      <c r="P80" s="260" t="s">
        <v>7</v>
      </c>
      <c r="Q80" s="260" t="s">
        <v>7</v>
      </c>
      <c r="R80" s="260" t="s">
        <v>7</v>
      </c>
      <c r="S80" s="260" t="s">
        <v>7</v>
      </c>
      <c r="T80" s="260" t="s">
        <v>7</v>
      </c>
      <c r="U80" s="260" t="s">
        <v>7</v>
      </c>
      <c r="V80" s="260" t="s">
        <v>7</v>
      </c>
      <c r="W80" s="260" t="s">
        <v>7</v>
      </c>
      <c r="X80" s="260" t="s">
        <v>7</v>
      </c>
      <c r="Y80" s="260" t="s">
        <v>7</v>
      </c>
      <c r="Z80" s="260" t="s">
        <v>7</v>
      </c>
      <c r="AA80" s="260" t="s">
        <v>7</v>
      </c>
      <c r="AB80" s="261" t="s">
        <v>7</v>
      </c>
      <c r="AC80" s="259" t="s">
        <v>7</v>
      </c>
      <c r="AD80" s="260" t="s">
        <v>7</v>
      </c>
      <c r="AE80" s="260" t="s">
        <v>7</v>
      </c>
      <c r="AF80" s="260" t="s">
        <v>7</v>
      </c>
      <c r="AG80" s="260" t="s">
        <v>7</v>
      </c>
      <c r="AH80" s="261" t="s">
        <v>7</v>
      </c>
    </row>
    <row r="81" spans="1:34" s="184" customFormat="1" ht="15" customHeight="1" x14ac:dyDescent="0.4">
      <c r="B81" s="170">
        <v>2700</v>
      </c>
      <c r="C81" s="260" t="s">
        <v>7</v>
      </c>
      <c r="D81" s="260" t="s">
        <v>7</v>
      </c>
      <c r="E81" s="260" t="s">
        <v>7</v>
      </c>
      <c r="F81" s="260" t="s">
        <v>7</v>
      </c>
      <c r="G81" s="260" t="s">
        <v>7</v>
      </c>
      <c r="H81" s="260" t="s">
        <v>7</v>
      </c>
      <c r="I81" s="260" t="s">
        <v>7</v>
      </c>
      <c r="J81" s="260" t="s">
        <v>7</v>
      </c>
      <c r="K81" s="260" t="s">
        <v>7</v>
      </c>
      <c r="L81" s="260" t="s">
        <v>7</v>
      </c>
      <c r="M81" s="260" t="s">
        <v>7</v>
      </c>
      <c r="N81" s="260" t="s">
        <v>7</v>
      </c>
      <c r="O81" s="260" t="s">
        <v>7</v>
      </c>
      <c r="P81" s="260" t="s">
        <v>7</v>
      </c>
      <c r="Q81" s="260" t="s">
        <v>7</v>
      </c>
      <c r="R81" s="260" t="s">
        <v>7</v>
      </c>
      <c r="S81" s="260" t="s">
        <v>7</v>
      </c>
      <c r="T81" s="260" t="s">
        <v>7</v>
      </c>
      <c r="U81" s="260" t="s">
        <v>7</v>
      </c>
      <c r="V81" s="260" t="s">
        <v>7</v>
      </c>
      <c r="W81" s="260" t="s">
        <v>7</v>
      </c>
      <c r="X81" s="260" t="s">
        <v>7</v>
      </c>
      <c r="Y81" s="260" t="s">
        <v>7</v>
      </c>
      <c r="Z81" s="260" t="s">
        <v>7</v>
      </c>
      <c r="AA81" s="260" t="s">
        <v>7</v>
      </c>
      <c r="AB81" s="261" t="s">
        <v>7</v>
      </c>
      <c r="AC81" s="259" t="s">
        <v>7</v>
      </c>
      <c r="AD81" s="260" t="s">
        <v>7</v>
      </c>
      <c r="AE81" s="260" t="s">
        <v>7</v>
      </c>
      <c r="AF81" s="260" t="s">
        <v>7</v>
      </c>
      <c r="AG81" s="260" t="s">
        <v>7</v>
      </c>
      <c r="AH81" s="261" t="s">
        <v>7</v>
      </c>
    </row>
    <row r="82" spans="1:34" s="184" customFormat="1" ht="15" customHeight="1" x14ac:dyDescent="0.4">
      <c r="B82" s="170">
        <v>2850</v>
      </c>
      <c r="C82" s="260" t="s">
        <v>7</v>
      </c>
      <c r="D82" s="260" t="s">
        <v>7</v>
      </c>
      <c r="E82" s="260" t="s">
        <v>7</v>
      </c>
      <c r="F82" s="260" t="s">
        <v>7</v>
      </c>
      <c r="G82" s="260" t="s">
        <v>7</v>
      </c>
      <c r="H82" s="260" t="s">
        <v>7</v>
      </c>
      <c r="I82" s="260" t="s">
        <v>7</v>
      </c>
      <c r="J82" s="260" t="s">
        <v>7</v>
      </c>
      <c r="K82" s="260" t="s">
        <v>7</v>
      </c>
      <c r="L82" s="260" t="s">
        <v>7</v>
      </c>
      <c r="M82" s="260" t="s">
        <v>7</v>
      </c>
      <c r="N82" s="260" t="s">
        <v>7</v>
      </c>
      <c r="O82" s="260" t="s">
        <v>7</v>
      </c>
      <c r="P82" s="260" t="s">
        <v>7</v>
      </c>
      <c r="Q82" s="260" t="s">
        <v>7</v>
      </c>
      <c r="R82" s="260" t="s">
        <v>7</v>
      </c>
      <c r="S82" s="260" t="s">
        <v>7</v>
      </c>
      <c r="T82" s="260" t="s">
        <v>7</v>
      </c>
      <c r="U82" s="260" t="s">
        <v>7</v>
      </c>
      <c r="V82" s="260" t="s">
        <v>7</v>
      </c>
      <c r="W82" s="260" t="s">
        <v>7</v>
      </c>
      <c r="X82" s="260" t="s">
        <v>7</v>
      </c>
      <c r="Y82" s="260" t="s">
        <v>7</v>
      </c>
      <c r="Z82" s="260" t="s">
        <v>7</v>
      </c>
      <c r="AA82" s="260" t="s">
        <v>7</v>
      </c>
      <c r="AB82" s="261" t="s">
        <v>7</v>
      </c>
      <c r="AC82" s="259" t="s">
        <v>7</v>
      </c>
      <c r="AD82" s="260" t="s">
        <v>7</v>
      </c>
      <c r="AE82" s="260" t="s">
        <v>7</v>
      </c>
      <c r="AF82" s="260" t="s">
        <v>7</v>
      </c>
      <c r="AG82" s="260" t="s">
        <v>7</v>
      </c>
      <c r="AH82" s="261" t="s">
        <v>7</v>
      </c>
    </row>
    <row r="83" spans="1:34" s="184" customFormat="1" ht="15" customHeight="1" thickBot="1" x14ac:dyDescent="0.45">
      <c r="B83" s="171">
        <v>3000</v>
      </c>
      <c r="C83" s="267" t="s">
        <v>7</v>
      </c>
      <c r="D83" s="267" t="s">
        <v>7</v>
      </c>
      <c r="E83" s="267" t="s">
        <v>7</v>
      </c>
      <c r="F83" s="267" t="s">
        <v>7</v>
      </c>
      <c r="G83" s="267" t="s">
        <v>7</v>
      </c>
      <c r="H83" s="267" t="s">
        <v>7</v>
      </c>
      <c r="I83" s="267" t="s">
        <v>7</v>
      </c>
      <c r="J83" s="267" t="s">
        <v>7</v>
      </c>
      <c r="K83" s="267" t="s">
        <v>7</v>
      </c>
      <c r="L83" s="267" t="s">
        <v>7</v>
      </c>
      <c r="M83" s="267" t="s">
        <v>7</v>
      </c>
      <c r="N83" s="267" t="s">
        <v>7</v>
      </c>
      <c r="O83" s="267" t="s">
        <v>7</v>
      </c>
      <c r="P83" s="267" t="s">
        <v>7</v>
      </c>
      <c r="Q83" s="267" t="s">
        <v>7</v>
      </c>
      <c r="R83" s="267" t="s">
        <v>7</v>
      </c>
      <c r="S83" s="267" t="s">
        <v>7</v>
      </c>
      <c r="T83" s="267" t="s">
        <v>7</v>
      </c>
      <c r="U83" s="267" t="s">
        <v>7</v>
      </c>
      <c r="V83" s="267" t="s">
        <v>7</v>
      </c>
      <c r="W83" s="267" t="s">
        <v>7</v>
      </c>
      <c r="X83" s="267" t="s">
        <v>7</v>
      </c>
      <c r="Y83" s="267" t="s">
        <v>7</v>
      </c>
      <c r="Z83" s="267" t="s">
        <v>7</v>
      </c>
      <c r="AA83" s="267" t="s">
        <v>7</v>
      </c>
      <c r="AB83" s="268" t="s">
        <v>7</v>
      </c>
      <c r="AC83" s="266" t="s">
        <v>7</v>
      </c>
      <c r="AD83" s="267" t="s">
        <v>7</v>
      </c>
      <c r="AE83" s="267" t="s">
        <v>7</v>
      </c>
      <c r="AF83" s="267" t="s">
        <v>7</v>
      </c>
      <c r="AG83" s="267" t="s">
        <v>7</v>
      </c>
      <c r="AH83" s="268" t="s">
        <v>7</v>
      </c>
    </row>
    <row r="84" spans="1:34" s="184" customFormat="1" x14ac:dyDescent="0.4"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</row>
    <row r="85" spans="1:34" s="160" customFormat="1" ht="45.9" thickBot="1" x14ac:dyDescent="1.1000000000000001">
      <c r="A85" s="269"/>
      <c r="B85" s="161" t="s">
        <v>41</v>
      </c>
      <c r="C85" s="161"/>
      <c r="D85" s="129"/>
      <c r="E85" s="129"/>
      <c r="F85" s="129"/>
      <c r="G85" s="129"/>
      <c r="H85" s="98"/>
      <c r="I85" s="130"/>
      <c r="J85" s="130"/>
      <c r="K85" s="130"/>
      <c r="L85" s="129"/>
      <c r="M85" s="129"/>
      <c r="N85" s="172"/>
      <c r="O85" s="177"/>
      <c r="P85" s="129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78"/>
      <c r="AB85" s="143"/>
      <c r="AC85" s="143"/>
      <c r="AD85" s="143"/>
      <c r="AE85" s="143"/>
      <c r="AF85" s="143"/>
      <c r="AG85" s="143"/>
      <c r="AH85" s="143"/>
    </row>
    <row r="86" spans="1:34" s="160" customFormat="1" ht="15.9" thickBot="1" x14ac:dyDescent="0.45">
      <c r="A86" s="269"/>
      <c r="B86" s="165"/>
      <c r="C86" s="166">
        <v>800</v>
      </c>
      <c r="D86" s="136">
        <v>900</v>
      </c>
      <c r="E86" s="136">
        <v>1050</v>
      </c>
      <c r="F86" s="135">
        <v>1200</v>
      </c>
      <c r="G86" s="136">
        <v>1350</v>
      </c>
      <c r="H86" s="135">
        <v>1500</v>
      </c>
      <c r="I86" s="136">
        <v>1650</v>
      </c>
      <c r="J86" s="135">
        <v>1800</v>
      </c>
      <c r="K86" s="136">
        <v>1950</v>
      </c>
      <c r="L86" s="135">
        <v>2100</v>
      </c>
      <c r="M86" s="136">
        <v>2250</v>
      </c>
      <c r="N86" s="135">
        <v>2400</v>
      </c>
      <c r="O86" s="136">
        <v>2550</v>
      </c>
      <c r="P86" s="135">
        <v>2700</v>
      </c>
      <c r="Q86" s="136">
        <v>2850</v>
      </c>
      <c r="R86" s="135">
        <v>3000</v>
      </c>
      <c r="S86" s="136">
        <v>3150</v>
      </c>
      <c r="T86" s="135">
        <v>3300</v>
      </c>
      <c r="U86" s="136">
        <v>3450</v>
      </c>
      <c r="V86" s="135">
        <v>3600</v>
      </c>
      <c r="W86" s="136">
        <v>3750</v>
      </c>
      <c r="X86" s="135">
        <v>3900</v>
      </c>
      <c r="Y86" s="136">
        <v>4050</v>
      </c>
      <c r="Z86" s="135">
        <v>4200</v>
      </c>
      <c r="AA86" s="136">
        <v>4350</v>
      </c>
      <c r="AB86" s="167">
        <v>4500</v>
      </c>
      <c r="AC86" s="135">
        <v>4650</v>
      </c>
      <c r="AD86" s="136">
        <v>4800</v>
      </c>
      <c r="AE86" s="136">
        <v>4950</v>
      </c>
      <c r="AF86" s="135">
        <v>5100</v>
      </c>
      <c r="AG86" s="136">
        <v>5250</v>
      </c>
      <c r="AH86" s="137">
        <v>5400</v>
      </c>
    </row>
    <row r="87" spans="1:34" s="160" customFormat="1" ht="15.45" x14ac:dyDescent="0.4">
      <c r="A87" s="269"/>
      <c r="B87" s="169">
        <v>900</v>
      </c>
      <c r="C87" s="257">
        <v>183.07655420075756</v>
      </c>
      <c r="D87" s="249">
        <v>196.30515087570143</v>
      </c>
      <c r="E87" s="249">
        <v>216.14804588811731</v>
      </c>
      <c r="F87" s="249">
        <v>236.79829905533637</v>
      </c>
      <c r="G87" s="249">
        <v>256.64119406775217</v>
      </c>
      <c r="H87" s="249">
        <v>276.48408908016802</v>
      </c>
      <c r="I87" s="249">
        <v>296.32698409258393</v>
      </c>
      <c r="J87" s="249">
        <v>316.16987910499972</v>
      </c>
      <c r="K87" s="249">
        <v>336.01277411741557</v>
      </c>
      <c r="L87" s="249">
        <v>355.85566912983143</v>
      </c>
      <c r="M87" s="249">
        <v>375.69856414224716</v>
      </c>
      <c r="N87" s="249">
        <v>396.34881730946631</v>
      </c>
      <c r="O87" s="249">
        <v>416.19171232188222</v>
      </c>
      <c r="P87" s="250">
        <v>436.03460733429802</v>
      </c>
      <c r="Q87" s="250">
        <v>455.87750234671381</v>
      </c>
      <c r="R87" s="250">
        <v>475.72039735912961</v>
      </c>
      <c r="S87" s="250">
        <v>495.56329237154557</v>
      </c>
      <c r="T87" s="250">
        <v>515.40618738396131</v>
      </c>
      <c r="U87" s="250">
        <v>535.24908239637705</v>
      </c>
      <c r="V87" s="249">
        <v>555.8993355635962</v>
      </c>
      <c r="W87" s="249">
        <v>575.74223057601205</v>
      </c>
      <c r="X87" s="250">
        <v>595.58512558842779</v>
      </c>
      <c r="Y87" s="250">
        <v>615.42802060084387</v>
      </c>
      <c r="Z87" s="250">
        <v>635.2709156132596</v>
      </c>
      <c r="AA87" s="250">
        <v>655.11381062567546</v>
      </c>
      <c r="AB87" s="258">
        <v>674.95670563809131</v>
      </c>
      <c r="AC87" s="249">
        <v>694.79960065050705</v>
      </c>
      <c r="AD87" s="249">
        <v>715.44985381772619</v>
      </c>
      <c r="AE87" s="249">
        <v>735.29274883014205</v>
      </c>
      <c r="AF87" s="249">
        <v>755.1356438425579</v>
      </c>
      <c r="AG87" s="249">
        <v>774.97853885497352</v>
      </c>
      <c r="AH87" s="258">
        <v>794.82143386738949</v>
      </c>
    </row>
    <row r="88" spans="1:34" s="160" customFormat="1" ht="15.45" x14ac:dyDescent="0.4">
      <c r="A88" s="269"/>
      <c r="B88" s="170">
        <v>1050</v>
      </c>
      <c r="C88" s="262">
        <v>186.54681742407195</v>
      </c>
      <c r="D88" s="252">
        <v>200.17555707881337</v>
      </c>
      <c r="E88" s="252">
        <v>220.61866656092548</v>
      </c>
      <c r="F88" s="252">
        <v>242.00369389030791</v>
      </c>
      <c r="G88" s="252">
        <v>262.44680337241999</v>
      </c>
      <c r="H88" s="252">
        <v>282.88991285453216</v>
      </c>
      <c r="I88" s="252">
        <v>303.33302233664426</v>
      </c>
      <c r="J88" s="252">
        <v>323.7761318187562</v>
      </c>
      <c r="K88" s="252">
        <v>344.21924130086842</v>
      </c>
      <c r="L88" s="252">
        <v>364.66235078298047</v>
      </c>
      <c r="M88" s="252">
        <v>385.10546026509257</v>
      </c>
      <c r="N88" s="252">
        <v>406.49048759447498</v>
      </c>
      <c r="O88" s="252">
        <v>426.93359707658715</v>
      </c>
      <c r="P88" s="253">
        <v>447.37670655869925</v>
      </c>
      <c r="Q88" s="253">
        <v>467.81981604081125</v>
      </c>
      <c r="R88" s="253">
        <v>488.2629255229233</v>
      </c>
      <c r="S88" s="253">
        <v>508.70603500503546</v>
      </c>
      <c r="T88" s="253">
        <v>529.14914448714762</v>
      </c>
      <c r="U88" s="253">
        <v>549.59225396925967</v>
      </c>
      <c r="V88" s="252">
        <v>570.97728129864208</v>
      </c>
      <c r="W88" s="252">
        <v>591.42039078075425</v>
      </c>
      <c r="X88" s="253">
        <v>611.86350026286641</v>
      </c>
      <c r="Y88" s="253">
        <v>632.30660974497846</v>
      </c>
      <c r="Z88" s="253">
        <v>652.74971922709062</v>
      </c>
      <c r="AA88" s="253">
        <v>673.19282870920244</v>
      </c>
      <c r="AB88" s="263">
        <v>693.63593819131472</v>
      </c>
      <c r="AC88" s="252">
        <v>714.07904767342677</v>
      </c>
      <c r="AD88" s="252">
        <v>735.4640750028093</v>
      </c>
      <c r="AE88" s="252">
        <v>755.90718448492134</v>
      </c>
      <c r="AF88" s="252">
        <v>776.35029396703328</v>
      </c>
      <c r="AG88" s="252">
        <v>796.79340344914544</v>
      </c>
      <c r="AH88" s="263">
        <v>817.23651293125761</v>
      </c>
    </row>
    <row r="89" spans="1:34" s="160" customFormat="1" ht="15.45" x14ac:dyDescent="0.4">
      <c r="A89" s="269"/>
      <c r="B89" s="170">
        <v>1200</v>
      </c>
      <c r="C89" s="262">
        <v>190.01708064738634</v>
      </c>
      <c r="D89" s="252">
        <v>204.04596328192525</v>
      </c>
      <c r="E89" s="252">
        <v>225.08928723373359</v>
      </c>
      <c r="F89" s="252">
        <v>247.20908872527954</v>
      </c>
      <c r="G89" s="252">
        <v>268.25241267708788</v>
      </c>
      <c r="H89" s="252">
        <v>289.29573662889624</v>
      </c>
      <c r="I89" s="252">
        <v>310.33906058070454</v>
      </c>
      <c r="J89" s="252">
        <v>331.3823845325129</v>
      </c>
      <c r="K89" s="252">
        <v>352.42570848432121</v>
      </c>
      <c r="L89" s="252">
        <v>373.46903243612957</v>
      </c>
      <c r="M89" s="252">
        <v>394.51235638793781</v>
      </c>
      <c r="N89" s="252">
        <v>416.63215787948383</v>
      </c>
      <c r="O89" s="252">
        <v>437.67548183129213</v>
      </c>
      <c r="P89" s="253">
        <v>458.71880578310038</v>
      </c>
      <c r="Q89" s="253">
        <v>479.7621297349088</v>
      </c>
      <c r="R89" s="253">
        <v>500.80545368671716</v>
      </c>
      <c r="S89" s="253">
        <v>521.84877763852546</v>
      </c>
      <c r="T89" s="253">
        <v>542.89210159033382</v>
      </c>
      <c r="U89" s="253">
        <v>563.93542554214207</v>
      </c>
      <c r="V89" s="252">
        <v>586.05522703368797</v>
      </c>
      <c r="W89" s="252">
        <v>607.09855098549644</v>
      </c>
      <c r="X89" s="253">
        <v>628.14187493730492</v>
      </c>
      <c r="Y89" s="253">
        <v>649.18519888911328</v>
      </c>
      <c r="Z89" s="253">
        <v>670.22852284092141</v>
      </c>
      <c r="AA89" s="253">
        <v>691.27184679272978</v>
      </c>
      <c r="AB89" s="263">
        <v>712.31517074453814</v>
      </c>
      <c r="AC89" s="252">
        <v>733.35849469634661</v>
      </c>
      <c r="AD89" s="252">
        <v>755.4782961878924</v>
      </c>
      <c r="AE89" s="252">
        <v>776.52162013970076</v>
      </c>
      <c r="AF89" s="252">
        <v>797.56494409150901</v>
      </c>
      <c r="AG89" s="252">
        <v>818.60826804331725</v>
      </c>
      <c r="AH89" s="263">
        <v>839.65159199512561</v>
      </c>
    </row>
    <row r="90" spans="1:34" s="160" customFormat="1" ht="15.45" x14ac:dyDescent="0.4">
      <c r="A90" s="269"/>
      <c r="B90" s="170">
        <v>1350</v>
      </c>
      <c r="C90" s="262">
        <v>193.48734387070078</v>
      </c>
      <c r="D90" s="252">
        <v>207.91636948503714</v>
      </c>
      <c r="E90" s="252">
        <v>229.55990790654172</v>
      </c>
      <c r="F90" s="252">
        <v>252.41448356025111</v>
      </c>
      <c r="G90" s="252">
        <v>274.0580219817557</v>
      </c>
      <c r="H90" s="252">
        <v>295.70156040326032</v>
      </c>
      <c r="I90" s="252">
        <v>317.34509882476488</v>
      </c>
      <c r="J90" s="252">
        <v>338.98863724626938</v>
      </c>
      <c r="K90" s="252">
        <v>360.63217566777405</v>
      </c>
      <c r="L90" s="252">
        <v>382.27571408927861</v>
      </c>
      <c r="M90" s="252">
        <v>403.91925251078317</v>
      </c>
      <c r="N90" s="252">
        <v>426.77382816449256</v>
      </c>
      <c r="O90" s="252">
        <v>448.41736658599723</v>
      </c>
      <c r="P90" s="253">
        <v>470.06090500750179</v>
      </c>
      <c r="Q90" s="253">
        <v>491.70444342900629</v>
      </c>
      <c r="R90" s="253">
        <v>513.34798185051102</v>
      </c>
      <c r="S90" s="253">
        <v>534.99152027201558</v>
      </c>
      <c r="T90" s="253">
        <v>556.63505869352014</v>
      </c>
      <c r="U90" s="253">
        <v>578.2785971150247</v>
      </c>
      <c r="V90" s="252">
        <v>601.13317276873408</v>
      </c>
      <c r="W90" s="252">
        <v>622.77671119023853</v>
      </c>
      <c r="X90" s="253">
        <v>644.4202496117432</v>
      </c>
      <c r="Y90" s="253">
        <v>666.06378803324787</v>
      </c>
      <c r="Z90" s="253">
        <v>687.70732645475232</v>
      </c>
      <c r="AA90" s="253">
        <v>709.35086487625699</v>
      </c>
      <c r="AB90" s="263">
        <v>730.99440329776155</v>
      </c>
      <c r="AC90" s="252">
        <v>752.63794171926611</v>
      </c>
      <c r="AD90" s="252">
        <v>775.49251737297561</v>
      </c>
      <c r="AE90" s="252">
        <v>797.13605579448017</v>
      </c>
      <c r="AF90" s="252">
        <v>818.77959421598484</v>
      </c>
      <c r="AG90" s="252">
        <v>840.42313263748929</v>
      </c>
      <c r="AH90" s="263">
        <v>862.06667105899396</v>
      </c>
    </row>
    <row r="91" spans="1:34" s="160" customFormat="1" ht="15.45" x14ac:dyDescent="0.4">
      <c r="A91" s="269"/>
      <c r="B91" s="170">
        <v>1500</v>
      </c>
      <c r="C91" s="262">
        <v>196.95760709401512</v>
      </c>
      <c r="D91" s="252">
        <v>211.78677568814902</v>
      </c>
      <c r="E91" s="252">
        <v>234.03052857934986</v>
      </c>
      <c r="F91" s="252">
        <v>257.61987839522266</v>
      </c>
      <c r="G91" s="252">
        <v>279.86363128642347</v>
      </c>
      <c r="H91" s="252">
        <v>302.10738417762434</v>
      </c>
      <c r="I91" s="252">
        <v>324.35113706882515</v>
      </c>
      <c r="J91" s="252">
        <v>346.59488996002602</v>
      </c>
      <c r="K91" s="252">
        <v>368.83864285122689</v>
      </c>
      <c r="L91" s="252">
        <v>391.08239574242771</v>
      </c>
      <c r="M91" s="252">
        <v>413.32614863362858</v>
      </c>
      <c r="N91" s="252">
        <v>436.9154984495014</v>
      </c>
      <c r="O91" s="252">
        <v>459.15925134070221</v>
      </c>
      <c r="P91" s="253">
        <v>481.40300423190291</v>
      </c>
      <c r="Q91" s="253">
        <v>503.64675712310384</v>
      </c>
      <c r="R91" s="253">
        <v>525.89051001430471</v>
      </c>
      <c r="S91" s="253">
        <v>548.13426290550547</v>
      </c>
      <c r="T91" s="253">
        <v>570.37801579670622</v>
      </c>
      <c r="U91" s="253">
        <v>592.62176868790709</v>
      </c>
      <c r="V91" s="252">
        <v>616.21111850377997</v>
      </c>
      <c r="W91" s="252">
        <v>638.45487139498084</v>
      </c>
      <c r="X91" s="253">
        <v>660.69862428618171</v>
      </c>
      <c r="Y91" s="253">
        <v>682.94237717738258</v>
      </c>
      <c r="Z91" s="253">
        <v>705.18613006858345</v>
      </c>
      <c r="AA91" s="253">
        <v>727.42988295978409</v>
      </c>
      <c r="AB91" s="263">
        <v>749.67363585098485</v>
      </c>
      <c r="AC91" s="252">
        <v>771.91738874218595</v>
      </c>
      <c r="AD91" s="252">
        <v>795.50673855805871</v>
      </c>
      <c r="AE91" s="252">
        <v>817.75049144925958</v>
      </c>
      <c r="AF91" s="252">
        <v>839.99424434046045</v>
      </c>
      <c r="AG91" s="252">
        <v>862.23799723166121</v>
      </c>
      <c r="AH91" s="263">
        <v>884.48175012286208</v>
      </c>
    </row>
    <row r="92" spans="1:34" s="160" customFormat="1" ht="15" customHeight="1" x14ac:dyDescent="0.4">
      <c r="A92" s="269"/>
      <c r="B92" s="170">
        <v>1650</v>
      </c>
      <c r="C92" s="262">
        <v>200.42787031732956</v>
      </c>
      <c r="D92" s="252">
        <v>215.65718189126093</v>
      </c>
      <c r="E92" s="252">
        <v>238.501149252158</v>
      </c>
      <c r="F92" s="252">
        <v>262.82527323019428</v>
      </c>
      <c r="G92" s="252">
        <v>285.6692405910913</v>
      </c>
      <c r="H92" s="252">
        <v>308.51320795198842</v>
      </c>
      <c r="I92" s="252">
        <v>331.35717531288549</v>
      </c>
      <c r="J92" s="252">
        <v>354.20114267378261</v>
      </c>
      <c r="K92" s="252">
        <v>377.04511003467962</v>
      </c>
      <c r="L92" s="252">
        <v>399.88907739557681</v>
      </c>
      <c r="M92" s="252">
        <v>422.73304475647382</v>
      </c>
      <c r="N92" s="252">
        <v>447.05716873451007</v>
      </c>
      <c r="O92" s="252">
        <v>469.9011360954072</v>
      </c>
      <c r="P92" s="253">
        <v>492.74510345630426</v>
      </c>
      <c r="Q92" s="253">
        <v>515.58907081720133</v>
      </c>
      <c r="R92" s="253">
        <v>538.43303817809851</v>
      </c>
      <c r="S92" s="253">
        <v>561.27700553899547</v>
      </c>
      <c r="T92" s="253">
        <v>584.12097289989265</v>
      </c>
      <c r="U92" s="253">
        <v>606.9649402607896</v>
      </c>
      <c r="V92" s="252">
        <v>631.28906423882597</v>
      </c>
      <c r="W92" s="252">
        <v>654.13303159972293</v>
      </c>
      <c r="X92" s="253">
        <v>676.97699896062011</v>
      </c>
      <c r="Y92" s="253">
        <v>699.82096632151729</v>
      </c>
      <c r="Z92" s="253">
        <v>722.66493368241436</v>
      </c>
      <c r="AA92" s="253">
        <v>745.50890104331131</v>
      </c>
      <c r="AB92" s="263">
        <v>768.35286840420849</v>
      </c>
      <c r="AC92" s="252">
        <v>791.19683576510545</v>
      </c>
      <c r="AD92" s="252">
        <v>815.52095974314182</v>
      </c>
      <c r="AE92" s="252">
        <v>838.364927104039</v>
      </c>
      <c r="AF92" s="252">
        <v>861.20889446493607</v>
      </c>
      <c r="AG92" s="252">
        <v>884.05286182583279</v>
      </c>
      <c r="AH92" s="263">
        <v>906.89682918673009</v>
      </c>
    </row>
    <row r="93" spans="1:34" s="160" customFormat="1" ht="15" customHeight="1" x14ac:dyDescent="0.4">
      <c r="A93" s="269"/>
      <c r="B93" s="170">
        <v>1800</v>
      </c>
      <c r="C93" s="262">
        <v>203.89813354064393</v>
      </c>
      <c r="D93" s="252">
        <v>219.52758809437279</v>
      </c>
      <c r="E93" s="252">
        <v>242.97176992496614</v>
      </c>
      <c r="F93" s="252">
        <v>268.03066806516586</v>
      </c>
      <c r="G93" s="252">
        <v>291.47484989575912</v>
      </c>
      <c r="H93" s="252">
        <v>314.9190317263525</v>
      </c>
      <c r="I93" s="252">
        <v>338.36321355694588</v>
      </c>
      <c r="J93" s="252">
        <v>361.80739538753915</v>
      </c>
      <c r="K93" s="252">
        <v>385.25157721813252</v>
      </c>
      <c r="L93" s="252">
        <v>408.69575904872579</v>
      </c>
      <c r="M93" s="252">
        <v>432.13994087931911</v>
      </c>
      <c r="N93" s="252">
        <v>457.19883901951886</v>
      </c>
      <c r="O93" s="252">
        <v>480.64302085011235</v>
      </c>
      <c r="P93" s="253">
        <v>504.0872026807055</v>
      </c>
      <c r="Q93" s="253">
        <v>527.53138451129871</v>
      </c>
      <c r="R93" s="253">
        <v>550.9755663418922</v>
      </c>
      <c r="S93" s="253">
        <v>574.41974817248536</v>
      </c>
      <c r="T93" s="253">
        <v>597.86393000307896</v>
      </c>
      <c r="U93" s="253">
        <v>621.30811183367223</v>
      </c>
      <c r="V93" s="252">
        <v>646.36700997387186</v>
      </c>
      <c r="W93" s="252">
        <v>669.81119180446512</v>
      </c>
      <c r="X93" s="253">
        <v>693.2553736350585</v>
      </c>
      <c r="Y93" s="253">
        <v>716.699555465652</v>
      </c>
      <c r="Z93" s="253">
        <v>740.14373729624526</v>
      </c>
      <c r="AA93" s="253">
        <v>763.58791912683864</v>
      </c>
      <c r="AB93" s="263">
        <v>787.03210095743168</v>
      </c>
      <c r="AC93" s="252">
        <v>810.47628278802529</v>
      </c>
      <c r="AD93" s="252">
        <v>835.53518092822503</v>
      </c>
      <c r="AE93" s="252">
        <v>858.9793627588183</v>
      </c>
      <c r="AF93" s="252">
        <v>882.42354458941156</v>
      </c>
      <c r="AG93" s="252">
        <v>905.86772642000471</v>
      </c>
      <c r="AH93" s="263">
        <v>929.31190825059832</v>
      </c>
    </row>
    <row r="94" spans="1:34" s="160" customFormat="1" ht="15" customHeight="1" x14ac:dyDescent="0.4">
      <c r="A94" s="269"/>
      <c r="B94" s="170">
        <v>1950</v>
      </c>
      <c r="C94" s="262">
        <v>207.36839676395829</v>
      </c>
      <c r="D94" s="252">
        <v>223.3979942974847</v>
      </c>
      <c r="E94" s="252">
        <v>247.44239059777428</v>
      </c>
      <c r="F94" s="252">
        <v>273.23606290013743</v>
      </c>
      <c r="G94" s="252">
        <v>297.280459200427</v>
      </c>
      <c r="H94" s="252">
        <v>321.32485550071664</v>
      </c>
      <c r="I94" s="252">
        <v>345.3692518010061</v>
      </c>
      <c r="J94" s="252">
        <v>369.41364810129573</v>
      </c>
      <c r="K94" s="252">
        <v>393.45804440158531</v>
      </c>
      <c r="L94" s="252">
        <v>417.50244070187489</v>
      </c>
      <c r="M94" s="252">
        <v>441.54683700216447</v>
      </c>
      <c r="N94" s="252">
        <v>467.34050930452753</v>
      </c>
      <c r="O94" s="252">
        <v>491.38490560481722</v>
      </c>
      <c r="P94" s="253">
        <v>515.42930190510685</v>
      </c>
      <c r="Q94" s="253">
        <v>539.47369820539643</v>
      </c>
      <c r="R94" s="253">
        <v>563.51809450568589</v>
      </c>
      <c r="S94" s="253">
        <v>587.56249080597559</v>
      </c>
      <c r="T94" s="253">
        <v>611.60688710626516</v>
      </c>
      <c r="U94" s="253">
        <v>635.65128340655474</v>
      </c>
      <c r="V94" s="252">
        <v>661.44495570891786</v>
      </c>
      <c r="W94" s="252">
        <v>685.48935200920744</v>
      </c>
      <c r="X94" s="253">
        <v>709.5337483094969</v>
      </c>
      <c r="Y94" s="253">
        <v>733.5781446097867</v>
      </c>
      <c r="Z94" s="253">
        <v>757.62254091007628</v>
      </c>
      <c r="AA94" s="253">
        <v>781.66693721036563</v>
      </c>
      <c r="AB94" s="263">
        <v>805.71133351065532</v>
      </c>
      <c r="AC94" s="252">
        <v>829.7557298109449</v>
      </c>
      <c r="AD94" s="252">
        <v>855.54940211330802</v>
      </c>
      <c r="AE94" s="252">
        <v>879.5937984135976</v>
      </c>
      <c r="AF94" s="252">
        <v>903.63819471388717</v>
      </c>
      <c r="AG94" s="252">
        <v>927.68259101417686</v>
      </c>
      <c r="AH94" s="263">
        <v>951.72698731446644</v>
      </c>
    </row>
    <row r="95" spans="1:34" s="160" customFormat="1" ht="15" customHeight="1" x14ac:dyDescent="0.4">
      <c r="A95" s="269"/>
      <c r="B95" s="170">
        <v>2100</v>
      </c>
      <c r="C95" s="262">
        <v>210.83865998727271</v>
      </c>
      <c r="D95" s="252">
        <v>227.26840050059661</v>
      </c>
      <c r="E95" s="252">
        <v>251.91301127058236</v>
      </c>
      <c r="F95" s="252">
        <v>278.441457735109</v>
      </c>
      <c r="G95" s="252">
        <v>303.08606850509483</v>
      </c>
      <c r="H95" s="252">
        <v>327.73067927508072</v>
      </c>
      <c r="I95" s="252">
        <v>352.37529004506649</v>
      </c>
      <c r="J95" s="252">
        <v>377.01990081505227</v>
      </c>
      <c r="K95" s="252">
        <v>401.66451158503816</v>
      </c>
      <c r="L95" s="252">
        <v>426.30912235502399</v>
      </c>
      <c r="M95" s="252">
        <v>450.95373312500982</v>
      </c>
      <c r="N95" s="252">
        <v>477.48217958953643</v>
      </c>
      <c r="O95" s="252">
        <v>502.1267903595222</v>
      </c>
      <c r="P95" s="253">
        <v>526.77140112950792</v>
      </c>
      <c r="Q95" s="253">
        <v>551.41601189949392</v>
      </c>
      <c r="R95" s="253">
        <v>576.06062266947981</v>
      </c>
      <c r="S95" s="253">
        <v>600.70523343946559</v>
      </c>
      <c r="T95" s="253">
        <v>625.34984420945148</v>
      </c>
      <c r="U95" s="253">
        <v>649.99445497943725</v>
      </c>
      <c r="V95" s="252">
        <v>676.52290144396386</v>
      </c>
      <c r="W95" s="252">
        <v>701.16751221394952</v>
      </c>
      <c r="X95" s="253">
        <v>725.81212298393552</v>
      </c>
      <c r="Y95" s="253">
        <v>750.45673375392141</v>
      </c>
      <c r="Z95" s="253">
        <v>775.10134452390707</v>
      </c>
      <c r="AA95" s="253">
        <v>799.74595529389319</v>
      </c>
      <c r="AB95" s="263">
        <v>824.39056606387885</v>
      </c>
      <c r="AC95" s="252">
        <v>849.03517683386463</v>
      </c>
      <c r="AD95" s="252">
        <v>875.56362329839135</v>
      </c>
      <c r="AE95" s="252">
        <v>900.2082340683769</v>
      </c>
      <c r="AF95" s="252">
        <v>924.85284483836301</v>
      </c>
      <c r="AG95" s="252">
        <v>949.49745560834867</v>
      </c>
      <c r="AH95" s="263">
        <v>974.14206637833456</v>
      </c>
    </row>
    <row r="96" spans="1:34" s="160" customFormat="1" ht="15" customHeight="1" x14ac:dyDescent="0.4">
      <c r="A96" s="269"/>
      <c r="B96" s="170">
        <v>2250</v>
      </c>
      <c r="C96" s="262">
        <v>214.3089232105871</v>
      </c>
      <c r="D96" s="252">
        <v>231.13880670370847</v>
      </c>
      <c r="E96" s="252">
        <v>256.38363194339053</v>
      </c>
      <c r="F96" s="252">
        <v>283.64685257008057</v>
      </c>
      <c r="G96" s="252">
        <v>308.89167780976265</v>
      </c>
      <c r="H96" s="252">
        <v>334.13650304944468</v>
      </c>
      <c r="I96" s="252">
        <v>359.38132828912688</v>
      </c>
      <c r="J96" s="252">
        <v>384.62615352880891</v>
      </c>
      <c r="K96" s="252">
        <v>409.87097876849089</v>
      </c>
      <c r="L96" s="252">
        <v>435.11580400817303</v>
      </c>
      <c r="M96" s="252">
        <v>460.36062924785512</v>
      </c>
      <c r="N96" s="252">
        <v>487.62384987454527</v>
      </c>
      <c r="O96" s="252">
        <v>512.86867511422724</v>
      </c>
      <c r="P96" s="253">
        <v>538.11350035390922</v>
      </c>
      <c r="Q96" s="253">
        <v>563.35832559359142</v>
      </c>
      <c r="R96" s="253">
        <v>588.6031508332735</v>
      </c>
      <c r="S96" s="253">
        <v>613.84797607295548</v>
      </c>
      <c r="T96" s="253">
        <v>639.09280131263768</v>
      </c>
      <c r="U96" s="253">
        <v>664.33762655231965</v>
      </c>
      <c r="V96" s="252">
        <v>691.60084717900975</v>
      </c>
      <c r="W96" s="252">
        <v>716.84567241869183</v>
      </c>
      <c r="X96" s="253">
        <v>742.09049765837392</v>
      </c>
      <c r="Y96" s="253">
        <v>767.33532289805601</v>
      </c>
      <c r="Z96" s="253">
        <v>792.58014813773821</v>
      </c>
      <c r="AA96" s="253">
        <v>817.82497337741995</v>
      </c>
      <c r="AB96" s="263">
        <v>843.06979861710215</v>
      </c>
      <c r="AC96" s="252">
        <v>868.31462385678412</v>
      </c>
      <c r="AD96" s="252">
        <v>895.57784448347434</v>
      </c>
      <c r="AE96" s="252">
        <v>920.82266972315642</v>
      </c>
      <c r="AF96" s="252">
        <v>946.06749496283851</v>
      </c>
      <c r="AG96" s="252">
        <v>971.31232020252071</v>
      </c>
      <c r="AH96" s="263">
        <v>996.55714544220268</v>
      </c>
    </row>
    <row r="97" spans="1:34" s="160" customFormat="1" ht="15" customHeight="1" x14ac:dyDescent="0.4">
      <c r="A97" s="269"/>
      <c r="B97" s="170">
        <v>2400</v>
      </c>
      <c r="C97" s="262">
        <v>217.77918643390146</v>
      </c>
      <c r="D97" s="252">
        <v>235.00921290682035</v>
      </c>
      <c r="E97" s="252">
        <v>260.85425261619866</v>
      </c>
      <c r="F97" s="252">
        <v>288.85224740505214</v>
      </c>
      <c r="G97" s="252">
        <v>314.69728711443048</v>
      </c>
      <c r="H97" s="252">
        <v>340.54232682380876</v>
      </c>
      <c r="I97" s="252">
        <v>366.38736653318711</v>
      </c>
      <c r="J97" s="252">
        <v>392.23240624256539</v>
      </c>
      <c r="K97" s="252">
        <v>418.07744595194373</v>
      </c>
      <c r="L97" s="252">
        <v>443.92248566132213</v>
      </c>
      <c r="M97" s="252">
        <v>469.76752537070047</v>
      </c>
      <c r="N97" s="252">
        <v>497.76552015955394</v>
      </c>
      <c r="O97" s="252">
        <v>523.61055986893223</v>
      </c>
      <c r="P97" s="253">
        <v>549.45559957831074</v>
      </c>
      <c r="Q97" s="253">
        <v>575.3006392876888</v>
      </c>
      <c r="R97" s="253">
        <v>601.14567899706719</v>
      </c>
      <c r="S97" s="253">
        <v>626.99071870644548</v>
      </c>
      <c r="T97" s="253">
        <v>652.83575841582388</v>
      </c>
      <c r="U97" s="253">
        <v>678.68079812520216</v>
      </c>
      <c r="V97" s="252">
        <v>706.67879291405575</v>
      </c>
      <c r="W97" s="252">
        <v>732.52383262343403</v>
      </c>
      <c r="X97" s="253">
        <v>758.36887233281243</v>
      </c>
      <c r="Y97" s="253">
        <v>784.2139120421906</v>
      </c>
      <c r="Z97" s="253">
        <v>810.058951751569</v>
      </c>
      <c r="AA97" s="253">
        <v>835.90399146094728</v>
      </c>
      <c r="AB97" s="263">
        <v>861.74903117032568</v>
      </c>
      <c r="AC97" s="252">
        <v>887.59407087970385</v>
      </c>
      <c r="AD97" s="252">
        <v>915.59206566855732</v>
      </c>
      <c r="AE97" s="252">
        <v>941.43710537793561</v>
      </c>
      <c r="AF97" s="252">
        <v>967.28214508731423</v>
      </c>
      <c r="AG97" s="252">
        <v>993.1271847966924</v>
      </c>
      <c r="AH97" s="263">
        <v>1018.9722245060709</v>
      </c>
    </row>
    <row r="98" spans="1:34" s="160" customFormat="1" ht="15" customHeight="1" x14ac:dyDescent="0.4">
      <c r="A98" s="269"/>
      <c r="B98" s="170">
        <v>2550</v>
      </c>
      <c r="C98" s="262">
        <v>221.24944965721588</v>
      </c>
      <c r="D98" s="252">
        <v>238.87961910993221</v>
      </c>
      <c r="E98" s="252">
        <v>265.3248732890068</v>
      </c>
      <c r="F98" s="252">
        <v>294.05764224002371</v>
      </c>
      <c r="G98" s="252">
        <v>320.50289641909831</v>
      </c>
      <c r="H98" s="252">
        <v>346.9481505981729</v>
      </c>
      <c r="I98" s="252">
        <v>373.3934047772475</v>
      </c>
      <c r="J98" s="252">
        <v>399.83865895632204</v>
      </c>
      <c r="K98" s="252">
        <v>426.28391313539669</v>
      </c>
      <c r="L98" s="252">
        <v>452.72916731447123</v>
      </c>
      <c r="M98" s="252">
        <v>479.17442149354582</v>
      </c>
      <c r="N98" s="252">
        <v>507.90719044456273</v>
      </c>
      <c r="O98" s="252">
        <v>534.35244462363733</v>
      </c>
      <c r="P98" s="253">
        <v>560.79769880271192</v>
      </c>
      <c r="Q98" s="253">
        <v>587.2429529817864</v>
      </c>
      <c r="R98" s="253">
        <v>613.688207160861</v>
      </c>
      <c r="S98" s="253">
        <v>640.13346133993559</v>
      </c>
      <c r="T98" s="253">
        <v>666.57871551901019</v>
      </c>
      <c r="U98" s="253">
        <v>693.02396969808456</v>
      </c>
      <c r="V98" s="252">
        <v>721.75673864910175</v>
      </c>
      <c r="W98" s="252">
        <v>748.20199282817612</v>
      </c>
      <c r="X98" s="253">
        <v>774.64724700725071</v>
      </c>
      <c r="Y98" s="253">
        <v>801.09250118632542</v>
      </c>
      <c r="Z98" s="253">
        <v>827.5377553653999</v>
      </c>
      <c r="AA98" s="253">
        <v>853.9830095444745</v>
      </c>
      <c r="AB98" s="263">
        <v>880.42826372354898</v>
      </c>
      <c r="AC98" s="252">
        <v>906.87351790262358</v>
      </c>
      <c r="AD98" s="252">
        <v>935.60628685364088</v>
      </c>
      <c r="AE98" s="252">
        <v>962.05154103271514</v>
      </c>
      <c r="AF98" s="252">
        <v>988.49679521178962</v>
      </c>
      <c r="AG98" s="252">
        <v>1014.9420493908642</v>
      </c>
      <c r="AH98" s="263">
        <v>1041.3873035699387</v>
      </c>
    </row>
    <row r="99" spans="1:34" s="160" customFormat="1" ht="15" customHeight="1" x14ac:dyDescent="0.4">
      <c r="A99" s="269"/>
      <c r="B99" s="170">
        <v>2700</v>
      </c>
      <c r="C99" s="262">
        <v>224.71971288053027</v>
      </c>
      <c r="D99" s="252">
        <v>242.75002531304412</v>
      </c>
      <c r="E99" s="252">
        <v>269.79549396181494</v>
      </c>
      <c r="F99" s="252">
        <v>299.2630370749954</v>
      </c>
      <c r="G99" s="252">
        <v>326.30850572376619</v>
      </c>
      <c r="H99" s="252">
        <v>353.35397437253698</v>
      </c>
      <c r="I99" s="252">
        <v>380.39944302130777</v>
      </c>
      <c r="J99" s="252">
        <v>407.44491167007862</v>
      </c>
      <c r="K99" s="252">
        <v>434.49038031884936</v>
      </c>
      <c r="L99" s="252">
        <v>461.53584896762021</v>
      </c>
      <c r="M99" s="252">
        <v>488.58131761639106</v>
      </c>
      <c r="N99" s="252">
        <v>518.04886072957163</v>
      </c>
      <c r="O99" s="252">
        <v>545.09432937834231</v>
      </c>
      <c r="P99" s="253">
        <v>572.13979802711322</v>
      </c>
      <c r="Q99" s="253">
        <v>599.1852666758839</v>
      </c>
      <c r="R99" s="253">
        <v>626.23073532465469</v>
      </c>
      <c r="S99" s="253">
        <v>653.27620397342559</v>
      </c>
      <c r="T99" s="253">
        <v>680.32167262219627</v>
      </c>
      <c r="U99" s="253">
        <v>707.36714127096707</v>
      </c>
      <c r="V99" s="252">
        <v>736.83468438414764</v>
      </c>
      <c r="W99" s="252">
        <v>763.88015303291854</v>
      </c>
      <c r="X99" s="253">
        <v>790.92562168168911</v>
      </c>
      <c r="Y99" s="253">
        <v>817.97109033046013</v>
      </c>
      <c r="Z99" s="253">
        <v>845.01655897923092</v>
      </c>
      <c r="AA99" s="253">
        <v>872.06202762800172</v>
      </c>
      <c r="AB99" s="263">
        <v>899.10749627677262</v>
      </c>
      <c r="AC99" s="252">
        <v>926.15296492554319</v>
      </c>
      <c r="AD99" s="252">
        <v>955.62050803872387</v>
      </c>
      <c r="AE99" s="252">
        <v>982.66597668749455</v>
      </c>
      <c r="AF99" s="252">
        <v>1009.7114453362653</v>
      </c>
      <c r="AG99" s="252">
        <v>1036.7569139850361</v>
      </c>
      <c r="AH99" s="263">
        <v>1063.8023826338072</v>
      </c>
    </row>
    <row r="100" spans="1:34" s="160" customFormat="1" ht="15" customHeight="1" x14ac:dyDescent="0.4">
      <c r="A100" s="269"/>
      <c r="B100" s="170">
        <v>2850</v>
      </c>
      <c r="C100" s="262">
        <v>228.18997610384466</v>
      </c>
      <c r="D100" s="252">
        <v>246.62043151615597</v>
      </c>
      <c r="E100" s="252">
        <v>274.26611463462308</v>
      </c>
      <c r="F100" s="252">
        <v>304.46843190996697</v>
      </c>
      <c r="G100" s="252">
        <v>332.11411502843401</v>
      </c>
      <c r="H100" s="252">
        <v>359.75979814690106</v>
      </c>
      <c r="I100" s="252">
        <v>387.40548126536805</v>
      </c>
      <c r="J100" s="252">
        <v>415.05116438383516</v>
      </c>
      <c r="K100" s="252">
        <v>442.69684750230226</v>
      </c>
      <c r="L100" s="252">
        <v>470.34253062076931</v>
      </c>
      <c r="M100" s="252">
        <v>497.98821373923636</v>
      </c>
      <c r="N100" s="252">
        <v>528.19053101458019</v>
      </c>
      <c r="O100" s="252">
        <v>555.83621413304718</v>
      </c>
      <c r="P100" s="253">
        <v>583.48189725151428</v>
      </c>
      <c r="Q100" s="253">
        <v>611.12758036998139</v>
      </c>
      <c r="R100" s="253">
        <v>638.77326348844849</v>
      </c>
      <c r="S100" s="253">
        <v>666.4189466069156</v>
      </c>
      <c r="T100" s="253">
        <v>694.06462972538259</v>
      </c>
      <c r="U100" s="253">
        <v>721.71031284384958</v>
      </c>
      <c r="V100" s="252">
        <v>751.91263011919341</v>
      </c>
      <c r="W100" s="252">
        <v>779.55831323766051</v>
      </c>
      <c r="X100" s="253">
        <v>807.20399635612773</v>
      </c>
      <c r="Y100" s="253">
        <v>834.84967947459484</v>
      </c>
      <c r="Z100" s="253">
        <v>862.49536259306183</v>
      </c>
      <c r="AA100" s="253">
        <v>890.14104571152905</v>
      </c>
      <c r="AB100" s="263">
        <v>917.78672882999581</v>
      </c>
      <c r="AC100" s="252">
        <v>945.43241194846303</v>
      </c>
      <c r="AD100" s="252">
        <v>975.63472922380674</v>
      </c>
      <c r="AE100" s="252">
        <v>1003.2804123422741</v>
      </c>
      <c r="AF100" s="252">
        <v>1030.926095460741</v>
      </c>
      <c r="AG100" s="252">
        <v>1058.5717785792081</v>
      </c>
      <c r="AH100" s="263">
        <v>1086.2174616976754</v>
      </c>
    </row>
    <row r="101" spans="1:34" s="160" customFormat="1" ht="15" customHeight="1" thickBot="1" x14ac:dyDescent="0.45">
      <c r="A101" s="269"/>
      <c r="B101" s="171">
        <v>3000</v>
      </c>
      <c r="C101" s="264">
        <v>231.66023932715902</v>
      </c>
      <c r="D101" s="255">
        <v>250.49083771926792</v>
      </c>
      <c r="E101" s="255">
        <v>278.73673530743116</v>
      </c>
      <c r="F101" s="255">
        <v>309.67382674493848</v>
      </c>
      <c r="G101" s="255">
        <v>337.91972433310178</v>
      </c>
      <c r="H101" s="255">
        <v>366.1656219212652</v>
      </c>
      <c r="I101" s="255">
        <v>394.41151950942844</v>
      </c>
      <c r="J101" s="255">
        <v>422.65741709759175</v>
      </c>
      <c r="K101" s="255">
        <v>450.90331468575511</v>
      </c>
      <c r="L101" s="255">
        <v>479.14921227391835</v>
      </c>
      <c r="M101" s="255">
        <v>507.39510986208171</v>
      </c>
      <c r="N101" s="255">
        <v>538.33220129958897</v>
      </c>
      <c r="O101" s="255">
        <v>566.57809888775239</v>
      </c>
      <c r="P101" s="256">
        <v>594.82399647591558</v>
      </c>
      <c r="Q101" s="256">
        <v>623.06989406407899</v>
      </c>
      <c r="R101" s="256">
        <v>651.31579165224218</v>
      </c>
      <c r="S101" s="256">
        <v>679.56168924040549</v>
      </c>
      <c r="T101" s="256">
        <v>707.8075868285689</v>
      </c>
      <c r="U101" s="256">
        <v>736.05348441673198</v>
      </c>
      <c r="V101" s="255">
        <v>766.99057585423952</v>
      </c>
      <c r="W101" s="255">
        <v>795.23647344240271</v>
      </c>
      <c r="X101" s="256">
        <v>823.48237103056613</v>
      </c>
      <c r="Y101" s="256">
        <v>851.72826861872943</v>
      </c>
      <c r="Z101" s="256">
        <v>879.97416620689296</v>
      </c>
      <c r="AA101" s="256">
        <v>908.22006379505626</v>
      </c>
      <c r="AB101" s="265">
        <v>936.46596138321945</v>
      </c>
      <c r="AC101" s="255">
        <v>964.71185897138264</v>
      </c>
      <c r="AD101" s="255">
        <v>995.64895040888996</v>
      </c>
      <c r="AE101" s="255">
        <v>1023.8948479970534</v>
      </c>
      <c r="AF101" s="255">
        <v>1052.1407455852166</v>
      </c>
      <c r="AG101" s="255">
        <v>1080.38664317338</v>
      </c>
      <c r="AH101" s="265">
        <v>1108.6325407615432</v>
      </c>
    </row>
    <row r="102" spans="1:34" s="184" customFormat="1" x14ac:dyDescent="0.4"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</row>
    <row r="103" spans="1:34" s="160" customFormat="1" ht="45.9" thickBot="1" x14ac:dyDescent="1.1000000000000001">
      <c r="A103" s="269"/>
      <c r="B103" s="161" t="s">
        <v>42</v>
      </c>
      <c r="C103" s="161"/>
      <c r="D103" s="129"/>
      <c r="E103" s="129"/>
      <c r="F103" s="129"/>
      <c r="G103" s="129"/>
      <c r="H103" s="98"/>
      <c r="I103" s="162"/>
      <c r="J103" s="162"/>
      <c r="K103" s="162"/>
      <c r="L103" s="129"/>
      <c r="M103" s="129"/>
      <c r="N103" s="163"/>
      <c r="O103" s="173"/>
      <c r="P103" s="129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78"/>
      <c r="AB103" s="143"/>
      <c r="AC103" s="143"/>
      <c r="AD103" s="143"/>
      <c r="AE103" s="143"/>
      <c r="AF103" s="143"/>
      <c r="AG103" s="143"/>
      <c r="AH103" s="143"/>
    </row>
    <row r="104" spans="1:34" s="160" customFormat="1" ht="15.9" thickBot="1" x14ac:dyDescent="0.45">
      <c r="A104" s="269"/>
      <c r="B104" s="165"/>
      <c r="C104" s="166">
        <v>800</v>
      </c>
      <c r="D104" s="136">
        <v>900</v>
      </c>
      <c r="E104" s="136">
        <v>1050</v>
      </c>
      <c r="F104" s="135">
        <v>1200</v>
      </c>
      <c r="G104" s="136">
        <v>1350</v>
      </c>
      <c r="H104" s="135">
        <v>1500</v>
      </c>
      <c r="I104" s="136">
        <v>1650</v>
      </c>
      <c r="J104" s="135">
        <v>1800</v>
      </c>
      <c r="K104" s="136">
        <v>1950</v>
      </c>
      <c r="L104" s="135">
        <v>2100</v>
      </c>
      <c r="M104" s="136">
        <v>2250</v>
      </c>
      <c r="N104" s="135">
        <v>2400</v>
      </c>
      <c r="O104" s="136">
        <v>2550</v>
      </c>
      <c r="P104" s="135">
        <v>2700</v>
      </c>
      <c r="Q104" s="136">
        <v>2850</v>
      </c>
      <c r="R104" s="135">
        <v>3000</v>
      </c>
      <c r="S104" s="136">
        <v>3150</v>
      </c>
      <c r="T104" s="135">
        <v>3300</v>
      </c>
      <c r="U104" s="136">
        <v>3450</v>
      </c>
      <c r="V104" s="135">
        <v>3600</v>
      </c>
      <c r="W104" s="136">
        <v>3750</v>
      </c>
      <c r="X104" s="135">
        <v>3900</v>
      </c>
      <c r="Y104" s="136">
        <v>4050</v>
      </c>
      <c r="Z104" s="135">
        <v>4200</v>
      </c>
      <c r="AA104" s="136">
        <v>4350</v>
      </c>
      <c r="AB104" s="167">
        <v>4500</v>
      </c>
      <c r="AC104" s="135">
        <v>4650</v>
      </c>
      <c r="AD104" s="136">
        <v>4800</v>
      </c>
      <c r="AE104" s="136">
        <v>4950</v>
      </c>
      <c r="AF104" s="135">
        <v>5100</v>
      </c>
      <c r="AG104" s="136">
        <v>5250</v>
      </c>
      <c r="AH104" s="137">
        <v>5400</v>
      </c>
    </row>
    <row r="105" spans="1:34" s="160" customFormat="1" ht="15.75" customHeight="1" x14ac:dyDescent="0.4">
      <c r="A105" s="269"/>
      <c r="B105" s="169">
        <v>900</v>
      </c>
      <c r="C105" s="257">
        <v>194.26716594784253</v>
      </c>
      <c r="D105" s="249">
        <v>204.05623562519042</v>
      </c>
      <c r="E105" s="249">
        <v>218.73984014121228</v>
      </c>
      <c r="F105" s="249">
        <v>234.17313437240853</v>
      </c>
      <c r="G105" s="249">
        <v>248.85673888843039</v>
      </c>
      <c r="H105" s="249">
        <v>263.54034340445224</v>
      </c>
      <c r="I105" s="249">
        <v>278.22394792047413</v>
      </c>
      <c r="J105" s="249">
        <v>292.90755243649591</v>
      </c>
      <c r="K105" s="249">
        <v>307.59115695251779</v>
      </c>
      <c r="L105" s="249">
        <v>322.27476146853968</v>
      </c>
      <c r="M105" s="249">
        <v>336.95836598456157</v>
      </c>
      <c r="N105" s="249">
        <v>352.39166021575772</v>
      </c>
      <c r="O105" s="249">
        <v>367.07526473177961</v>
      </c>
      <c r="P105" s="250">
        <v>381.75886924780144</v>
      </c>
      <c r="Q105" s="250">
        <v>396.44247376382322</v>
      </c>
      <c r="R105" s="250">
        <v>411.12607827984516</v>
      </c>
      <c r="S105" s="250">
        <v>425.80968279586699</v>
      </c>
      <c r="T105" s="250">
        <v>440.49328731188888</v>
      </c>
      <c r="U105" s="250">
        <v>455.17689182791059</v>
      </c>
      <c r="V105" s="249">
        <v>470.61018605910698</v>
      </c>
      <c r="W105" s="249">
        <v>485.29379057512875</v>
      </c>
      <c r="X105" s="250">
        <v>499.97739509115053</v>
      </c>
      <c r="Y105" s="250">
        <v>514.66099960717258</v>
      </c>
      <c r="Z105" s="250">
        <v>529.34460412319436</v>
      </c>
      <c r="AA105" s="250">
        <v>544.02820863921613</v>
      </c>
      <c r="AB105" s="258">
        <v>558.71181315523813</v>
      </c>
      <c r="AC105" s="249">
        <v>573.39541767125979</v>
      </c>
      <c r="AD105" s="249">
        <v>588.82871190245601</v>
      </c>
      <c r="AE105" s="249">
        <v>603.51231641847801</v>
      </c>
      <c r="AF105" s="249">
        <v>618.1959209344999</v>
      </c>
      <c r="AG105" s="249">
        <v>632.87952545052156</v>
      </c>
      <c r="AH105" s="258">
        <v>647.56312996654367</v>
      </c>
    </row>
    <row r="106" spans="1:34" s="160" customFormat="1" ht="15.45" x14ac:dyDescent="0.4">
      <c r="A106" s="269"/>
      <c r="B106" s="170">
        <v>1050</v>
      </c>
      <c r="C106" s="262">
        <v>198.00773068818626</v>
      </c>
      <c r="D106" s="252">
        <v>208.1683617039175</v>
      </c>
      <c r="E106" s="252">
        <v>223.4093082275144</v>
      </c>
      <c r="F106" s="252">
        <v>239.52489275214819</v>
      </c>
      <c r="G106" s="252">
        <v>254.76583927574509</v>
      </c>
      <c r="H106" s="252">
        <v>270.00678579934208</v>
      </c>
      <c r="I106" s="252">
        <v>285.24773232293893</v>
      </c>
      <c r="J106" s="252">
        <v>300.48867884653589</v>
      </c>
      <c r="K106" s="252">
        <v>315.72962537013285</v>
      </c>
      <c r="L106" s="252">
        <v>330.97057189372975</v>
      </c>
      <c r="M106" s="252">
        <v>346.21151841732677</v>
      </c>
      <c r="N106" s="252">
        <v>362.3271029419605</v>
      </c>
      <c r="O106" s="252">
        <v>377.56804946555735</v>
      </c>
      <c r="P106" s="253">
        <v>392.80899598915437</v>
      </c>
      <c r="Q106" s="253">
        <v>408.04994251275133</v>
      </c>
      <c r="R106" s="253">
        <v>423.29088903634823</v>
      </c>
      <c r="S106" s="253">
        <v>438.53183555994519</v>
      </c>
      <c r="T106" s="253">
        <v>453.77278208354204</v>
      </c>
      <c r="U106" s="253">
        <v>469.01372860713911</v>
      </c>
      <c r="V106" s="252">
        <v>485.12931313177285</v>
      </c>
      <c r="W106" s="252">
        <v>500.37025965536964</v>
      </c>
      <c r="X106" s="253">
        <v>515.61120617896665</v>
      </c>
      <c r="Y106" s="253">
        <v>530.85215270256356</v>
      </c>
      <c r="Z106" s="253">
        <v>546.09309922616058</v>
      </c>
      <c r="AA106" s="253">
        <v>561.33404574975737</v>
      </c>
      <c r="AB106" s="263">
        <v>576.5749922733545</v>
      </c>
      <c r="AC106" s="252">
        <v>591.81593879695129</v>
      </c>
      <c r="AD106" s="252">
        <v>607.93152332158513</v>
      </c>
      <c r="AE106" s="252">
        <v>623.17246984518204</v>
      </c>
      <c r="AF106" s="252">
        <v>638.41341636877894</v>
      </c>
      <c r="AG106" s="252">
        <v>653.65436289237596</v>
      </c>
      <c r="AH106" s="263">
        <v>668.89530941597309</v>
      </c>
    </row>
    <row r="107" spans="1:34" s="160" customFormat="1" ht="15.45" x14ac:dyDescent="0.4">
      <c r="A107" s="269"/>
      <c r="B107" s="170">
        <v>1200</v>
      </c>
      <c r="C107" s="262">
        <v>201.74829542852993</v>
      </c>
      <c r="D107" s="252">
        <v>212.28048778264457</v>
      </c>
      <c r="E107" s="252">
        <v>228.07877631381663</v>
      </c>
      <c r="F107" s="252">
        <v>244.87665113188783</v>
      </c>
      <c r="G107" s="252">
        <v>260.67493966305983</v>
      </c>
      <c r="H107" s="252">
        <v>276.47322819423187</v>
      </c>
      <c r="I107" s="252">
        <v>292.2715167254039</v>
      </c>
      <c r="J107" s="252">
        <v>308.06980525657593</v>
      </c>
      <c r="K107" s="252">
        <v>323.86809378774797</v>
      </c>
      <c r="L107" s="252">
        <v>339.66638231892</v>
      </c>
      <c r="M107" s="252">
        <v>355.46467085009203</v>
      </c>
      <c r="N107" s="252">
        <v>372.26254566816323</v>
      </c>
      <c r="O107" s="252">
        <v>388.06083419933526</v>
      </c>
      <c r="P107" s="253">
        <v>403.85912273050724</v>
      </c>
      <c r="Q107" s="253">
        <v>419.65741126167921</v>
      </c>
      <c r="R107" s="253">
        <v>435.45569979285131</v>
      </c>
      <c r="S107" s="253">
        <v>451.25398832402334</v>
      </c>
      <c r="T107" s="253">
        <v>467.05227685519537</v>
      </c>
      <c r="U107" s="253">
        <v>482.85056538636741</v>
      </c>
      <c r="V107" s="252">
        <v>499.64844020443871</v>
      </c>
      <c r="W107" s="252">
        <v>515.44672873561069</v>
      </c>
      <c r="X107" s="253">
        <v>531.24501726678272</v>
      </c>
      <c r="Y107" s="253">
        <v>547.04330579795464</v>
      </c>
      <c r="Z107" s="253">
        <v>562.84159432912679</v>
      </c>
      <c r="AA107" s="253">
        <v>578.63988286029883</v>
      </c>
      <c r="AB107" s="263">
        <v>594.43817139147086</v>
      </c>
      <c r="AC107" s="252">
        <v>610.23645992264278</v>
      </c>
      <c r="AD107" s="252">
        <v>627.03433474071392</v>
      </c>
      <c r="AE107" s="252">
        <v>642.83262327188595</v>
      </c>
      <c r="AF107" s="252">
        <v>658.6309118030581</v>
      </c>
      <c r="AG107" s="252">
        <v>674.42920033423013</v>
      </c>
      <c r="AH107" s="263">
        <v>690.22748886540205</v>
      </c>
    </row>
    <row r="108" spans="1:34" s="160" customFormat="1" ht="15.45" x14ac:dyDescent="0.4">
      <c r="A108" s="269"/>
      <c r="B108" s="170">
        <v>1350</v>
      </c>
      <c r="C108" s="262">
        <v>205.48886016887357</v>
      </c>
      <c r="D108" s="252">
        <v>216.3926138613717</v>
      </c>
      <c r="E108" s="252">
        <v>232.74824440011881</v>
      </c>
      <c r="F108" s="252">
        <v>250.22840951162752</v>
      </c>
      <c r="G108" s="252">
        <v>266.5840400503746</v>
      </c>
      <c r="H108" s="252">
        <v>282.9396705891217</v>
      </c>
      <c r="I108" s="252">
        <v>299.29530112786881</v>
      </c>
      <c r="J108" s="252">
        <v>315.65093166661597</v>
      </c>
      <c r="K108" s="252">
        <v>332.00656220536302</v>
      </c>
      <c r="L108" s="252">
        <v>348.36219274411013</v>
      </c>
      <c r="M108" s="252">
        <v>364.71782328285724</v>
      </c>
      <c r="N108" s="252">
        <v>382.19798839436601</v>
      </c>
      <c r="O108" s="252">
        <v>398.55361893311311</v>
      </c>
      <c r="P108" s="253">
        <v>414.90924947186022</v>
      </c>
      <c r="Q108" s="253">
        <v>431.26488001060733</v>
      </c>
      <c r="R108" s="253">
        <v>447.62051054935444</v>
      </c>
      <c r="S108" s="253">
        <v>463.9761410881016</v>
      </c>
      <c r="T108" s="253">
        <v>480.33177162684871</v>
      </c>
      <c r="U108" s="253">
        <v>496.68740216559576</v>
      </c>
      <c r="V108" s="252">
        <v>514.16756727710447</v>
      </c>
      <c r="W108" s="252">
        <v>530.52319781585163</v>
      </c>
      <c r="X108" s="253">
        <v>546.87882835459868</v>
      </c>
      <c r="Y108" s="253">
        <v>563.23445889334573</v>
      </c>
      <c r="Z108" s="253">
        <v>579.5900894320929</v>
      </c>
      <c r="AA108" s="253">
        <v>595.94571997083995</v>
      </c>
      <c r="AB108" s="263">
        <v>612.30135050958722</v>
      </c>
      <c r="AC108" s="252">
        <v>628.65698104833427</v>
      </c>
      <c r="AD108" s="252">
        <v>646.13714615984293</v>
      </c>
      <c r="AE108" s="252">
        <v>662.49277669859009</v>
      </c>
      <c r="AF108" s="252">
        <v>678.84840723733737</v>
      </c>
      <c r="AG108" s="252">
        <v>695.20403777608442</v>
      </c>
      <c r="AH108" s="263">
        <v>711.55966831483147</v>
      </c>
    </row>
    <row r="109" spans="1:34" s="160" customFormat="1" ht="15.45" x14ac:dyDescent="0.4">
      <c r="A109" s="269"/>
      <c r="B109" s="170">
        <v>1500</v>
      </c>
      <c r="C109" s="262">
        <v>209.22942490921724</v>
      </c>
      <c r="D109" s="252">
        <v>220.50473994009872</v>
      </c>
      <c r="E109" s="252">
        <v>237.41771248642092</v>
      </c>
      <c r="F109" s="252">
        <v>255.58016789136713</v>
      </c>
      <c r="G109" s="252">
        <v>272.49314043768936</v>
      </c>
      <c r="H109" s="252">
        <v>289.40611298401143</v>
      </c>
      <c r="I109" s="252">
        <v>306.31908553033372</v>
      </c>
      <c r="J109" s="252">
        <v>323.2320580766559</v>
      </c>
      <c r="K109" s="252">
        <v>340.14503062297814</v>
      </c>
      <c r="L109" s="252">
        <v>357.05800316930032</v>
      </c>
      <c r="M109" s="252">
        <v>373.97097571562256</v>
      </c>
      <c r="N109" s="252">
        <v>392.13343112056873</v>
      </c>
      <c r="O109" s="252">
        <v>409.04640366689085</v>
      </c>
      <c r="P109" s="253">
        <v>425.95937621321315</v>
      </c>
      <c r="Q109" s="253">
        <v>442.87234875953533</v>
      </c>
      <c r="R109" s="253">
        <v>459.78532130585751</v>
      </c>
      <c r="S109" s="253">
        <v>476.69829385217957</v>
      </c>
      <c r="T109" s="253">
        <v>493.61126639850193</v>
      </c>
      <c r="U109" s="253">
        <v>510.52423894482405</v>
      </c>
      <c r="V109" s="252">
        <v>528.68669434977028</v>
      </c>
      <c r="W109" s="252">
        <v>545.59966689609246</v>
      </c>
      <c r="X109" s="253">
        <v>562.51263944241475</v>
      </c>
      <c r="Y109" s="253">
        <v>579.42561198873693</v>
      </c>
      <c r="Z109" s="253">
        <v>596.338584535059</v>
      </c>
      <c r="AA109" s="253">
        <v>613.25155708138129</v>
      </c>
      <c r="AB109" s="263">
        <v>630.16452962770347</v>
      </c>
      <c r="AC109" s="252">
        <v>647.07750217402565</v>
      </c>
      <c r="AD109" s="252">
        <v>665.23995757897205</v>
      </c>
      <c r="AE109" s="252">
        <v>682.15293012529401</v>
      </c>
      <c r="AF109" s="252">
        <v>699.06590267161641</v>
      </c>
      <c r="AG109" s="252">
        <v>715.97887521793871</v>
      </c>
      <c r="AH109" s="263">
        <v>732.89184776426066</v>
      </c>
    </row>
    <row r="110" spans="1:34" s="160" customFormat="1" ht="15" customHeight="1" x14ac:dyDescent="0.4">
      <c r="A110" s="269"/>
      <c r="B110" s="170">
        <v>1650</v>
      </c>
      <c r="C110" s="262">
        <v>212.96998964956094</v>
      </c>
      <c r="D110" s="252">
        <v>224.61686601882582</v>
      </c>
      <c r="E110" s="252">
        <v>242.08718057272316</v>
      </c>
      <c r="F110" s="252">
        <v>260.93192627110676</v>
      </c>
      <c r="G110" s="252">
        <v>278.40224082500407</v>
      </c>
      <c r="H110" s="252">
        <v>295.87255537890138</v>
      </c>
      <c r="I110" s="252">
        <v>313.34286993279864</v>
      </c>
      <c r="J110" s="252">
        <v>330.81318448669595</v>
      </c>
      <c r="K110" s="252">
        <v>348.2834990405932</v>
      </c>
      <c r="L110" s="252">
        <v>365.75381359449045</v>
      </c>
      <c r="M110" s="252">
        <v>383.22412814838776</v>
      </c>
      <c r="N110" s="252">
        <v>402.06887384677145</v>
      </c>
      <c r="O110" s="252">
        <v>419.53918840066876</v>
      </c>
      <c r="P110" s="253">
        <v>437.00950295456602</v>
      </c>
      <c r="Q110" s="253">
        <v>454.47981750846327</v>
      </c>
      <c r="R110" s="253">
        <v>471.95013206236058</v>
      </c>
      <c r="S110" s="253">
        <v>489.42044661625789</v>
      </c>
      <c r="T110" s="253">
        <v>506.89076117015509</v>
      </c>
      <c r="U110" s="253">
        <v>524.36107572405251</v>
      </c>
      <c r="V110" s="252">
        <v>543.2058214224362</v>
      </c>
      <c r="W110" s="252">
        <v>560.6761359763334</v>
      </c>
      <c r="X110" s="253">
        <v>578.1464505302306</v>
      </c>
      <c r="Y110" s="253">
        <v>595.61676508412802</v>
      </c>
      <c r="Z110" s="253">
        <v>613.08707963802522</v>
      </c>
      <c r="AA110" s="253">
        <v>630.55739419192264</v>
      </c>
      <c r="AB110" s="263">
        <v>648.02770874581995</v>
      </c>
      <c r="AC110" s="252">
        <v>665.49802329971715</v>
      </c>
      <c r="AD110" s="252">
        <v>684.34276899810095</v>
      </c>
      <c r="AE110" s="252">
        <v>701.81308355199826</v>
      </c>
      <c r="AF110" s="252">
        <v>719.28339810589557</v>
      </c>
      <c r="AG110" s="252">
        <v>736.75371265979265</v>
      </c>
      <c r="AH110" s="263">
        <v>754.22402721368996</v>
      </c>
    </row>
    <row r="111" spans="1:34" s="160" customFormat="1" ht="15" customHeight="1" x14ac:dyDescent="0.4">
      <c r="A111" s="269"/>
      <c r="B111" s="170">
        <v>1800</v>
      </c>
      <c r="C111" s="262">
        <v>216.71055438990462</v>
      </c>
      <c r="D111" s="252">
        <v>228.72899209755289</v>
      </c>
      <c r="E111" s="252">
        <v>246.75664865902519</v>
      </c>
      <c r="F111" s="252">
        <v>266.2836846508464</v>
      </c>
      <c r="G111" s="252">
        <v>284.31134121231878</v>
      </c>
      <c r="H111" s="252">
        <v>302.33899777379116</v>
      </c>
      <c r="I111" s="252">
        <v>320.36665433526355</v>
      </c>
      <c r="J111" s="252">
        <v>338.39431089673599</v>
      </c>
      <c r="K111" s="252">
        <v>356.42196745820826</v>
      </c>
      <c r="L111" s="252">
        <v>374.44962401968064</v>
      </c>
      <c r="M111" s="252">
        <v>392.47728058115308</v>
      </c>
      <c r="N111" s="252">
        <v>412.00431657297423</v>
      </c>
      <c r="O111" s="252">
        <v>430.03197313444656</v>
      </c>
      <c r="P111" s="253">
        <v>448.05962969591889</v>
      </c>
      <c r="Q111" s="253">
        <v>466.08728625739144</v>
      </c>
      <c r="R111" s="253">
        <v>484.11494281886365</v>
      </c>
      <c r="S111" s="253">
        <v>502.14259938033615</v>
      </c>
      <c r="T111" s="253">
        <v>520.17025594180848</v>
      </c>
      <c r="U111" s="253">
        <v>538.19791250328092</v>
      </c>
      <c r="V111" s="252">
        <v>557.72494849510201</v>
      </c>
      <c r="W111" s="252">
        <v>575.75260505657434</v>
      </c>
      <c r="X111" s="253">
        <v>593.78026161804667</v>
      </c>
      <c r="Y111" s="253">
        <v>611.80791817951911</v>
      </c>
      <c r="Z111" s="253">
        <v>629.83557474099143</v>
      </c>
      <c r="AA111" s="253">
        <v>647.86323130246387</v>
      </c>
      <c r="AB111" s="263">
        <v>665.89088786393631</v>
      </c>
      <c r="AC111" s="252">
        <v>683.91854442540853</v>
      </c>
      <c r="AD111" s="252">
        <v>703.44558041722973</v>
      </c>
      <c r="AE111" s="252">
        <v>721.47323697870229</v>
      </c>
      <c r="AF111" s="252">
        <v>739.5008935401745</v>
      </c>
      <c r="AG111" s="252">
        <v>757.52855010164683</v>
      </c>
      <c r="AH111" s="263">
        <v>775.55620666311927</v>
      </c>
    </row>
    <row r="112" spans="1:34" s="160" customFormat="1" ht="15" customHeight="1" x14ac:dyDescent="0.4">
      <c r="A112" s="269"/>
      <c r="B112" s="170">
        <v>1950</v>
      </c>
      <c r="C112" s="262">
        <v>220.45111913024832</v>
      </c>
      <c r="D112" s="252">
        <v>232.84111817627993</v>
      </c>
      <c r="E112" s="252">
        <v>251.42611674532742</v>
      </c>
      <c r="F112" s="252">
        <v>271.63544303058603</v>
      </c>
      <c r="G112" s="252">
        <v>290.22044159963349</v>
      </c>
      <c r="H112" s="252">
        <v>308.805440168681</v>
      </c>
      <c r="I112" s="252">
        <v>327.3904387377284</v>
      </c>
      <c r="J112" s="252">
        <v>345.97543730677586</v>
      </c>
      <c r="K112" s="252">
        <v>364.56043587582343</v>
      </c>
      <c r="L112" s="252">
        <v>383.14543444487083</v>
      </c>
      <c r="M112" s="252">
        <v>401.73043301391834</v>
      </c>
      <c r="N112" s="252">
        <v>421.93975929917707</v>
      </c>
      <c r="O112" s="252">
        <v>440.52475786822447</v>
      </c>
      <c r="P112" s="253">
        <v>459.10975643727181</v>
      </c>
      <c r="Q112" s="253">
        <v>477.69475500631933</v>
      </c>
      <c r="R112" s="253">
        <v>496.27975357536673</v>
      </c>
      <c r="S112" s="253">
        <v>514.86475214441418</v>
      </c>
      <c r="T112" s="253">
        <v>533.44975071346175</v>
      </c>
      <c r="U112" s="253">
        <v>552.03474928250921</v>
      </c>
      <c r="V112" s="252">
        <v>572.24407556776771</v>
      </c>
      <c r="W112" s="252">
        <v>590.82907413681517</v>
      </c>
      <c r="X112" s="253">
        <v>609.41407270586274</v>
      </c>
      <c r="Y112" s="253">
        <v>627.99907127491008</v>
      </c>
      <c r="Z112" s="253">
        <v>646.58406984395776</v>
      </c>
      <c r="AA112" s="253">
        <v>665.16906841300522</v>
      </c>
      <c r="AB112" s="263">
        <v>683.75406698205279</v>
      </c>
      <c r="AC112" s="252">
        <v>702.33906555110013</v>
      </c>
      <c r="AD112" s="252">
        <v>722.54839183635886</v>
      </c>
      <c r="AE112" s="252">
        <v>741.1333904054062</v>
      </c>
      <c r="AF112" s="252">
        <v>759.71838897445377</v>
      </c>
      <c r="AG112" s="252">
        <v>778.30338754350112</v>
      </c>
      <c r="AH112" s="263">
        <v>796.88838611254846</v>
      </c>
    </row>
    <row r="113" spans="1:34" s="160" customFormat="1" ht="15" customHeight="1" x14ac:dyDescent="0.4">
      <c r="A113" s="269"/>
      <c r="B113" s="170">
        <v>2100</v>
      </c>
      <c r="C113" s="262">
        <v>224.19168387059199</v>
      </c>
      <c r="D113" s="252">
        <v>236.95324425500701</v>
      </c>
      <c r="E113" s="252">
        <v>256.09558483162959</v>
      </c>
      <c r="F113" s="252">
        <v>276.98720141032572</v>
      </c>
      <c r="G113" s="252">
        <v>296.1295419869482</v>
      </c>
      <c r="H113" s="252">
        <v>315.27188256357084</v>
      </c>
      <c r="I113" s="252">
        <v>334.41422314019337</v>
      </c>
      <c r="J113" s="252">
        <v>353.5565637168159</v>
      </c>
      <c r="K113" s="252">
        <v>372.69890429343843</v>
      </c>
      <c r="L113" s="252">
        <v>391.84124487006102</v>
      </c>
      <c r="M113" s="252">
        <v>410.98358544668355</v>
      </c>
      <c r="N113" s="252">
        <v>431.87520202537974</v>
      </c>
      <c r="O113" s="252">
        <v>451.01754260200238</v>
      </c>
      <c r="P113" s="253">
        <v>470.15988317862468</v>
      </c>
      <c r="Q113" s="253">
        <v>489.30222375524744</v>
      </c>
      <c r="R113" s="253">
        <v>508.44456433186991</v>
      </c>
      <c r="S113" s="253">
        <v>527.58690490849244</v>
      </c>
      <c r="T113" s="253">
        <v>546.72924548511503</v>
      </c>
      <c r="U113" s="253">
        <v>565.87158606173739</v>
      </c>
      <c r="V113" s="252">
        <v>586.76320264043375</v>
      </c>
      <c r="W113" s="252">
        <v>605.90554321705622</v>
      </c>
      <c r="X113" s="253">
        <v>625.04788379367881</v>
      </c>
      <c r="Y113" s="253">
        <v>644.19022437030139</v>
      </c>
      <c r="Z113" s="253">
        <v>663.33256494692387</v>
      </c>
      <c r="AA113" s="253">
        <v>682.47490552354645</v>
      </c>
      <c r="AB113" s="263">
        <v>701.61724610016904</v>
      </c>
      <c r="AC113" s="252">
        <v>720.75958667679151</v>
      </c>
      <c r="AD113" s="252">
        <v>741.65120325548753</v>
      </c>
      <c r="AE113" s="252">
        <v>760.79354383211023</v>
      </c>
      <c r="AF113" s="252">
        <v>779.93588440873293</v>
      </c>
      <c r="AG113" s="252">
        <v>799.0782249853554</v>
      </c>
      <c r="AH113" s="263">
        <v>818.22056556197788</v>
      </c>
    </row>
    <row r="114" spans="1:34" s="160" customFormat="1" ht="15" customHeight="1" x14ac:dyDescent="0.4">
      <c r="A114" s="269"/>
      <c r="B114" s="170">
        <v>2250</v>
      </c>
      <c r="C114" s="262">
        <v>227.93224861093572</v>
      </c>
      <c r="D114" s="252">
        <v>241.06537033373408</v>
      </c>
      <c r="E114" s="252">
        <v>260.76505291793171</v>
      </c>
      <c r="F114" s="252">
        <v>282.33895979006542</v>
      </c>
      <c r="G114" s="252">
        <v>302.03864237426302</v>
      </c>
      <c r="H114" s="252">
        <v>321.73832495846062</v>
      </c>
      <c r="I114" s="252">
        <v>341.43800754265828</v>
      </c>
      <c r="J114" s="252">
        <v>361.13769012685589</v>
      </c>
      <c r="K114" s="252">
        <v>380.83737271105355</v>
      </c>
      <c r="L114" s="252">
        <v>400.53705529525115</v>
      </c>
      <c r="M114" s="252">
        <v>420.23673787944887</v>
      </c>
      <c r="N114" s="252">
        <v>441.81064475158246</v>
      </c>
      <c r="O114" s="252">
        <v>461.51032733578018</v>
      </c>
      <c r="P114" s="253">
        <v>481.21000991997767</v>
      </c>
      <c r="Q114" s="253">
        <v>500.90969250417538</v>
      </c>
      <c r="R114" s="253">
        <v>520.6093750883731</v>
      </c>
      <c r="S114" s="253">
        <v>540.30905767257059</v>
      </c>
      <c r="T114" s="253">
        <v>560.00874025676831</v>
      </c>
      <c r="U114" s="253">
        <v>579.70842284096602</v>
      </c>
      <c r="V114" s="252">
        <v>601.28232971309944</v>
      </c>
      <c r="W114" s="252">
        <v>620.98201229729727</v>
      </c>
      <c r="X114" s="253">
        <v>640.68169488149488</v>
      </c>
      <c r="Y114" s="253">
        <v>660.38137746569248</v>
      </c>
      <c r="Z114" s="253">
        <v>680.08106004989008</v>
      </c>
      <c r="AA114" s="253">
        <v>699.78074263408769</v>
      </c>
      <c r="AB114" s="263">
        <v>719.48042521828552</v>
      </c>
      <c r="AC114" s="252">
        <v>739.18010780248301</v>
      </c>
      <c r="AD114" s="252">
        <v>760.75401467461677</v>
      </c>
      <c r="AE114" s="252">
        <v>780.45369725881426</v>
      </c>
      <c r="AF114" s="252">
        <v>800.15337984301186</v>
      </c>
      <c r="AG114" s="252">
        <v>819.85306242720958</v>
      </c>
      <c r="AH114" s="263">
        <v>839.5527450114073</v>
      </c>
    </row>
    <row r="115" spans="1:34" s="160" customFormat="1" ht="15" customHeight="1" x14ac:dyDescent="0.4">
      <c r="A115" s="269"/>
      <c r="B115" s="170">
        <v>2400</v>
      </c>
      <c r="C115" s="262">
        <v>231.67281335127933</v>
      </c>
      <c r="D115" s="252">
        <v>245.17749641246118</v>
      </c>
      <c r="E115" s="252">
        <v>265.43452100423394</v>
      </c>
      <c r="F115" s="252">
        <v>287.69071816980505</v>
      </c>
      <c r="G115" s="252">
        <v>307.94774276157773</v>
      </c>
      <c r="H115" s="252">
        <v>328.20476735335041</v>
      </c>
      <c r="I115" s="252">
        <v>348.46179194512325</v>
      </c>
      <c r="J115" s="252">
        <v>368.71881653689593</v>
      </c>
      <c r="K115" s="252">
        <v>388.97584112866866</v>
      </c>
      <c r="L115" s="252">
        <v>409.2328657204414</v>
      </c>
      <c r="M115" s="252">
        <v>429.48989031221407</v>
      </c>
      <c r="N115" s="252">
        <v>451.7460874777853</v>
      </c>
      <c r="O115" s="252">
        <v>472.00311206955803</v>
      </c>
      <c r="P115" s="253">
        <v>492.26013666133076</v>
      </c>
      <c r="Q115" s="253">
        <v>512.51716125310327</v>
      </c>
      <c r="R115" s="253">
        <v>532.774185844876</v>
      </c>
      <c r="S115" s="253">
        <v>553.03121043664885</v>
      </c>
      <c r="T115" s="253">
        <v>573.28823502842147</v>
      </c>
      <c r="U115" s="253">
        <v>593.54525962019432</v>
      </c>
      <c r="V115" s="252">
        <v>615.80145678576537</v>
      </c>
      <c r="W115" s="252">
        <v>636.05848137753821</v>
      </c>
      <c r="X115" s="253">
        <v>656.31550596931095</v>
      </c>
      <c r="Y115" s="253">
        <v>676.57253056108357</v>
      </c>
      <c r="Z115" s="253">
        <v>696.8295551528563</v>
      </c>
      <c r="AA115" s="253">
        <v>717.08657974462892</v>
      </c>
      <c r="AB115" s="263">
        <v>737.34360433640165</v>
      </c>
      <c r="AC115" s="252">
        <v>757.60062892817427</v>
      </c>
      <c r="AD115" s="252">
        <v>779.85682609374567</v>
      </c>
      <c r="AE115" s="252">
        <v>800.11385068551829</v>
      </c>
      <c r="AF115" s="252">
        <v>820.37087527729091</v>
      </c>
      <c r="AG115" s="252">
        <v>840.62789986906364</v>
      </c>
      <c r="AH115" s="263">
        <v>860.8849244608366</v>
      </c>
    </row>
    <row r="116" spans="1:34" s="160" customFormat="1" ht="15" customHeight="1" x14ac:dyDescent="0.4">
      <c r="A116" s="269"/>
      <c r="B116" s="170">
        <v>2550</v>
      </c>
      <c r="C116" s="262">
        <v>235.41337809162303</v>
      </c>
      <c r="D116" s="252">
        <v>249.28962249118828</v>
      </c>
      <c r="E116" s="252">
        <v>270.10398909053606</v>
      </c>
      <c r="F116" s="252">
        <v>293.04247654954463</v>
      </c>
      <c r="G116" s="252">
        <v>313.85684314889255</v>
      </c>
      <c r="H116" s="252">
        <v>334.67120974824036</v>
      </c>
      <c r="I116" s="252">
        <v>355.48557634758805</v>
      </c>
      <c r="J116" s="252">
        <v>376.29994294693591</v>
      </c>
      <c r="K116" s="252">
        <v>397.11430954628378</v>
      </c>
      <c r="L116" s="252">
        <v>417.92867614563141</v>
      </c>
      <c r="M116" s="252">
        <v>438.74304274497939</v>
      </c>
      <c r="N116" s="252">
        <v>461.6815302039879</v>
      </c>
      <c r="O116" s="252">
        <v>482.49589680333571</v>
      </c>
      <c r="P116" s="253">
        <v>503.31026340268363</v>
      </c>
      <c r="Q116" s="253">
        <v>524.12463000203127</v>
      </c>
      <c r="R116" s="253">
        <v>544.93899660137913</v>
      </c>
      <c r="S116" s="253">
        <v>565.75336320072699</v>
      </c>
      <c r="T116" s="253">
        <v>586.56772980007486</v>
      </c>
      <c r="U116" s="253">
        <v>607.38209639942249</v>
      </c>
      <c r="V116" s="252">
        <v>630.32058385843118</v>
      </c>
      <c r="W116" s="252">
        <v>651.13495045777904</v>
      </c>
      <c r="X116" s="253">
        <v>671.94931705712679</v>
      </c>
      <c r="Y116" s="253">
        <v>692.76368365647465</v>
      </c>
      <c r="Z116" s="253">
        <v>713.57805025582252</v>
      </c>
      <c r="AA116" s="253">
        <v>734.39241685517027</v>
      </c>
      <c r="AB116" s="263">
        <v>755.20678345451802</v>
      </c>
      <c r="AC116" s="252">
        <v>776.02115005386588</v>
      </c>
      <c r="AD116" s="252">
        <v>798.95963751287456</v>
      </c>
      <c r="AE116" s="252">
        <v>819.77400411222231</v>
      </c>
      <c r="AF116" s="252">
        <v>840.58837071157018</v>
      </c>
      <c r="AG116" s="252">
        <v>861.40273731091793</v>
      </c>
      <c r="AH116" s="263">
        <v>882.21710391026579</v>
      </c>
    </row>
    <row r="117" spans="1:34" s="160" customFormat="1" ht="15" customHeight="1" x14ac:dyDescent="0.4">
      <c r="A117" s="269"/>
      <c r="B117" s="170">
        <v>2700</v>
      </c>
      <c r="C117" s="262">
        <v>239.15394283196673</v>
      </c>
      <c r="D117" s="252">
        <v>253.4017485699153</v>
      </c>
      <c r="E117" s="252">
        <v>274.77345717683824</v>
      </c>
      <c r="F117" s="252">
        <v>298.39423492928432</v>
      </c>
      <c r="G117" s="252">
        <v>319.7659435362072</v>
      </c>
      <c r="H117" s="252">
        <v>341.13765214313008</v>
      </c>
      <c r="I117" s="252">
        <v>362.50936075005302</v>
      </c>
      <c r="J117" s="252">
        <v>383.88106935697601</v>
      </c>
      <c r="K117" s="252">
        <v>405.25277796389867</v>
      </c>
      <c r="L117" s="252">
        <v>426.62448657082166</v>
      </c>
      <c r="M117" s="252">
        <v>447.9961951777446</v>
      </c>
      <c r="N117" s="252">
        <v>471.61697293019068</v>
      </c>
      <c r="O117" s="252">
        <v>492.98868153711362</v>
      </c>
      <c r="P117" s="253">
        <v>514.3603901440365</v>
      </c>
      <c r="Q117" s="253">
        <v>535.73209875095949</v>
      </c>
      <c r="R117" s="253">
        <v>557.10380735788215</v>
      </c>
      <c r="S117" s="253">
        <v>578.47551596480514</v>
      </c>
      <c r="T117" s="253">
        <v>599.84722457172802</v>
      </c>
      <c r="U117" s="253">
        <v>621.21893317865113</v>
      </c>
      <c r="V117" s="252">
        <v>644.83971093109722</v>
      </c>
      <c r="W117" s="252">
        <v>666.21141953801987</v>
      </c>
      <c r="X117" s="253">
        <v>687.58312814494275</v>
      </c>
      <c r="Y117" s="253">
        <v>708.95483675186586</v>
      </c>
      <c r="Z117" s="253">
        <v>730.32654535878862</v>
      </c>
      <c r="AA117" s="253">
        <v>751.69825396571173</v>
      </c>
      <c r="AB117" s="263">
        <v>773.06996257263449</v>
      </c>
      <c r="AC117" s="252">
        <v>794.44167117955715</v>
      </c>
      <c r="AD117" s="252">
        <v>818.06244893200346</v>
      </c>
      <c r="AE117" s="252">
        <v>839.43415753892634</v>
      </c>
      <c r="AF117" s="252">
        <v>860.80586614584945</v>
      </c>
      <c r="AG117" s="252">
        <v>882.17757475277222</v>
      </c>
      <c r="AH117" s="263">
        <v>903.54928335969521</v>
      </c>
    </row>
    <row r="118" spans="1:34" s="160" customFormat="1" ht="15" customHeight="1" x14ac:dyDescent="0.4">
      <c r="A118" s="269"/>
      <c r="B118" s="170">
        <v>2850</v>
      </c>
      <c r="C118" s="262">
        <v>242.8945075723104</v>
      </c>
      <c r="D118" s="252">
        <v>257.5138746486424</v>
      </c>
      <c r="E118" s="252">
        <v>279.44292526314041</v>
      </c>
      <c r="F118" s="252">
        <v>303.74599330902396</v>
      </c>
      <c r="G118" s="252">
        <v>325.67504392352197</v>
      </c>
      <c r="H118" s="252">
        <v>347.60409453801992</v>
      </c>
      <c r="I118" s="252">
        <v>369.53314515251782</v>
      </c>
      <c r="J118" s="252">
        <v>391.46219576701588</v>
      </c>
      <c r="K118" s="252">
        <v>413.39124638151389</v>
      </c>
      <c r="L118" s="252">
        <v>435.3202969960119</v>
      </c>
      <c r="M118" s="252">
        <v>457.2493476105098</v>
      </c>
      <c r="N118" s="252">
        <v>481.55241565639352</v>
      </c>
      <c r="O118" s="252">
        <v>503.4814662708913</v>
      </c>
      <c r="P118" s="253">
        <v>525.41051688538948</v>
      </c>
      <c r="Q118" s="253">
        <v>547.33956749988727</v>
      </c>
      <c r="R118" s="253">
        <v>569.26861811438539</v>
      </c>
      <c r="S118" s="253">
        <v>591.1976687288834</v>
      </c>
      <c r="T118" s="253">
        <v>613.12671934338141</v>
      </c>
      <c r="U118" s="253">
        <v>635.05576995787942</v>
      </c>
      <c r="V118" s="252">
        <v>659.35883800376303</v>
      </c>
      <c r="W118" s="252">
        <v>681.28788861826081</v>
      </c>
      <c r="X118" s="253">
        <v>703.21693923275905</v>
      </c>
      <c r="Y118" s="253">
        <v>725.14598984725694</v>
      </c>
      <c r="Z118" s="253">
        <v>747.07504046175484</v>
      </c>
      <c r="AA118" s="253">
        <v>769.00409107625285</v>
      </c>
      <c r="AB118" s="263">
        <v>790.93314169075074</v>
      </c>
      <c r="AC118" s="252">
        <v>812.86219230524875</v>
      </c>
      <c r="AD118" s="252">
        <v>837.16526035113236</v>
      </c>
      <c r="AE118" s="252">
        <v>859.09431096563037</v>
      </c>
      <c r="AF118" s="252">
        <v>881.02336158012838</v>
      </c>
      <c r="AG118" s="252">
        <v>902.95241219462628</v>
      </c>
      <c r="AH118" s="263">
        <v>924.88146280912429</v>
      </c>
    </row>
    <row r="119" spans="1:34" s="160" customFormat="1" ht="15" customHeight="1" thickBot="1" x14ac:dyDescent="0.45">
      <c r="A119" s="269"/>
      <c r="B119" s="171">
        <v>3000</v>
      </c>
      <c r="C119" s="270">
        <v>246.63507231265413</v>
      </c>
      <c r="D119" s="255">
        <v>261.6260007273695</v>
      </c>
      <c r="E119" s="255">
        <v>284.11239334944253</v>
      </c>
      <c r="F119" s="255">
        <v>309.09775168876354</v>
      </c>
      <c r="G119" s="255">
        <v>331.58414431083668</v>
      </c>
      <c r="H119" s="255">
        <v>354.07053693290976</v>
      </c>
      <c r="I119" s="255">
        <v>376.55692955498279</v>
      </c>
      <c r="J119" s="255">
        <v>399.04332217705587</v>
      </c>
      <c r="K119" s="255">
        <v>421.52971479912895</v>
      </c>
      <c r="L119" s="255">
        <v>444.01610742120209</v>
      </c>
      <c r="M119" s="255">
        <v>466.50250004327512</v>
      </c>
      <c r="N119" s="255">
        <v>491.48785838259624</v>
      </c>
      <c r="O119" s="255">
        <v>513.97425100466921</v>
      </c>
      <c r="P119" s="256">
        <v>536.46064362674224</v>
      </c>
      <c r="Q119" s="256">
        <v>558.94703624881527</v>
      </c>
      <c r="R119" s="256">
        <v>581.43342887088852</v>
      </c>
      <c r="S119" s="256">
        <v>603.91982149296143</v>
      </c>
      <c r="T119" s="256">
        <v>626.40621411503469</v>
      </c>
      <c r="U119" s="256">
        <v>648.89260673710783</v>
      </c>
      <c r="V119" s="255">
        <v>673.87796507642884</v>
      </c>
      <c r="W119" s="255">
        <v>696.36435769850175</v>
      </c>
      <c r="X119" s="256">
        <v>718.85075032057489</v>
      </c>
      <c r="Y119" s="256">
        <v>741.33714294264803</v>
      </c>
      <c r="Z119" s="256">
        <v>763.82353556472094</v>
      </c>
      <c r="AA119" s="256">
        <v>786.30992818679397</v>
      </c>
      <c r="AB119" s="265">
        <v>808.79632080886722</v>
      </c>
      <c r="AC119" s="255">
        <v>831.28271343094013</v>
      </c>
      <c r="AD119" s="255">
        <v>856.26807177026126</v>
      </c>
      <c r="AE119" s="255">
        <v>878.75446439233451</v>
      </c>
      <c r="AF119" s="255">
        <v>901.24085701440754</v>
      </c>
      <c r="AG119" s="255">
        <v>923.72724963648056</v>
      </c>
      <c r="AH119" s="265">
        <v>946.21364225855359</v>
      </c>
    </row>
    <row r="120" spans="1:34" s="275" customFormat="1" ht="15.9" thickBot="1" x14ac:dyDescent="0.45">
      <c r="B120" s="290" t="s">
        <v>54</v>
      </c>
      <c r="C120" s="291">
        <v>12.233398535170325</v>
      </c>
      <c r="D120" s="2">
        <v>13.389197294910959</v>
      </c>
      <c r="E120" s="2">
        <v>14.544996054651593</v>
      </c>
      <c r="F120" s="1">
        <v>15.700794814392196</v>
      </c>
      <c r="G120" s="2">
        <v>16.856593574132816</v>
      </c>
      <c r="H120" s="1">
        <v>18.012392333873454</v>
      </c>
      <c r="I120" s="2">
        <v>19.168191093614059</v>
      </c>
      <c r="J120" s="1">
        <v>20.323989853354693</v>
      </c>
      <c r="K120" s="2">
        <v>21.479788613095298</v>
      </c>
      <c r="L120" s="1">
        <v>22.635587372835904</v>
      </c>
      <c r="M120" s="2">
        <v>23.791386132576569</v>
      </c>
      <c r="N120" s="1">
        <v>24.947184892317143</v>
      </c>
      <c r="O120" s="2">
        <v>26.10298365205778</v>
      </c>
      <c r="P120" s="1">
        <v>27.258782411798446</v>
      </c>
      <c r="Q120" s="2">
        <v>28.414581171539115</v>
      </c>
      <c r="R120" s="1">
        <v>29.570379931279685</v>
      </c>
      <c r="S120" s="2">
        <v>30.726178691020323</v>
      </c>
      <c r="T120" s="1">
        <v>31.881977450760893</v>
      </c>
      <c r="U120" s="2">
        <v>33.037776210501534</v>
      </c>
      <c r="V120" s="1">
        <v>34.193574970242167</v>
      </c>
      <c r="W120" s="2">
        <v>35.349373729982801</v>
      </c>
      <c r="X120" s="1">
        <v>36.505172489723449</v>
      </c>
      <c r="Y120" s="2">
        <v>37.66097124946409</v>
      </c>
      <c r="Z120" s="1">
        <v>38.816770009204731</v>
      </c>
      <c r="AA120" s="2">
        <v>39.972568768945372</v>
      </c>
      <c r="AB120" s="292">
        <v>41.128367528686013</v>
      </c>
      <c r="AC120" s="1">
        <v>42.284166288426654</v>
      </c>
      <c r="AD120" s="1">
        <v>43.439965048167295</v>
      </c>
      <c r="AE120" s="1">
        <v>44.595763807907936</v>
      </c>
      <c r="AF120" s="1">
        <v>45.751562567648577</v>
      </c>
      <c r="AG120" s="1">
        <v>46.907361327389218</v>
      </c>
      <c r="AH120" s="292">
        <v>48.063160087129866</v>
      </c>
    </row>
    <row r="121" spans="1:34" s="184" customFormat="1" x14ac:dyDescent="0.4"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</row>
    <row r="122" spans="1:34" s="160" customFormat="1" ht="45.9" thickBot="1" x14ac:dyDescent="1.1000000000000001">
      <c r="A122" s="269"/>
      <c r="B122" s="161" t="s">
        <v>43</v>
      </c>
      <c r="C122" s="161"/>
      <c r="D122" s="129"/>
      <c r="E122" s="129"/>
      <c r="F122" s="129"/>
      <c r="G122" s="129"/>
      <c r="H122" s="98"/>
      <c r="I122" s="130"/>
      <c r="J122" s="130"/>
      <c r="K122" s="130"/>
      <c r="L122" s="129"/>
      <c r="M122" s="129"/>
      <c r="N122" s="172"/>
      <c r="O122" s="177"/>
      <c r="P122" s="129"/>
      <c r="Q122" s="143"/>
      <c r="R122" s="143"/>
      <c r="S122" s="173"/>
      <c r="T122" s="143"/>
      <c r="U122" s="143"/>
      <c r="V122" s="143"/>
      <c r="W122" s="143"/>
      <c r="X122" s="143"/>
      <c r="Y122" s="143"/>
      <c r="Z122" s="143"/>
      <c r="AA122" s="178"/>
      <c r="AB122" s="143"/>
      <c r="AC122" s="143"/>
      <c r="AD122" s="143"/>
      <c r="AE122" s="143"/>
      <c r="AF122" s="143"/>
      <c r="AG122" s="143"/>
      <c r="AH122" s="143"/>
    </row>
    <row r="123" spans="1:34" s="160" customFormat="1" ht="15.9" thickBot="1" x14ac:dyDescent="0.45">
      <c r="A123" s="269"/>
      <c r="B123" s="165"/>
      <c r="C123" s="166">
        <v>800</v>
      </c>
      <c r="D123" s="136">
        <v>900</v>
      </c>
      <c r="E123" s="136">
        <v>1050</v>
      </c>
      <c r="F123" s="135">
        <v>1200</v>
      </c>
      <c r="G123" s="136">
        <v>1350</v>
      </c>
      <c r="H123" s="135">
        <v>1500</v>
      </c>
      <c r="I123" s="136">
        <v>1650</v>
      </c>
      <c r="J123" s="135">
        <v>1800</v>
      </c>
      <c r="K123" s="136">
        <v>1950</v>
      </c>
      <c r="L123" s="135">
        <v>2100</v>
      </c>
      <c r="M123" s="136">
        <v>2250</v>
      </c>
      <c r="N123" s="135">
        <v>2400</v>
      </c>
      <c r="O123" s="136">
        <v>2550</v>
      </c>
      <c r="P123" s="135">
        <v>2700</v>
      </c>
      <c r="Q123" s="136">
        <v>2850</v>
      </c>
      <c r="R123" s="135">
        <v>3000</v>
      </c>
      <c r="S123" s="136">
        <v>3150</v>
      </c>
      <c r="T123" s="135">
        <v>3300</v>
      </c>
      <c r="U123" s="136">
        <v>3450</v>
      </c>
      <c r="V123" s="135">
        <v>3600</v>
      </c>
      <c r="W123" s="136">
        <v>3750</v>
      </c>
      <c r="X123" s="135">
        <v>3900</v>
      </c>
      <c r="Y123" s="136">
        <v>4050</v>
      </c>
      <c r="Z123" s="135">
        <v>4200</v>
      </c>
      <c r="AA123" s="136">
        <v>4350</v>
      </c>
      <c r="AB123" s="167">
        <v>4500</v>
      </c>
      <c r="AC123" s="135">
        <v>4650</v>
      </c>
      <c r="AD123" s="136">
        <v>4800</v>
      </c>
      <c r="AE123" s="136">
        <v>4950</v>
      </c>
      <c r="AF123" s="135">
        <v>5100</v>
      </c>
      <c r="AG123" s="136">
        <v>5250</v>
      </c>
      <c r="AH123" s="137">
        <v>5400</v>
      </c>
    </row>
    <row r="124" spans="1:34" s="160" customFormat="1" ht="15.45" x14ac:dyDescent="0.4">
      <c r="A124" s="269"/>
      <c r="B124" s="169">
        <v>900</v>
      </c>
      <c r="C124" s="257">
        <v>226.68871156881553</v>
      </c>
      <c r="D124" s="249">
        <v>240.06361131387916</v>
      </c>
      <c r="E124" s="249">
        <v>260.12596093147454</v>
      </c>
      <c r="F124" s="249">
        <v>281.05857972892278</v>
      </c>
      <c r="G124" s="249">
        <v>301.12092934651815</v>
      </c>
      <c r="H124" s="249">
        <v>321.18327896411358</v>
      </c>
      <c r="I124" s="249">
        <v>341.24562858170907</v>
      </c>
      <c r="J124" s="249">
        <v>361.30797819930444</v>
      </c>
      <c r="K124" s="249">
        <v>381.37032781689987</v>
      </c>
      <c r="L124" s="249">
        <v>401.4326774344953</v>
      </c>
      <c r="M124" s="249">
        <v>421.49502705209062</v>
      </c>
      <c r="N124" s="249">
        <v>442.42764584953892</v>
      </c>
      <c r="O124" s="249">
        <v>462.48999546713429</v>
      </c>
      <c r="P124" s="250">
        <v>482.55234508472984</v>
      </c>
      <c r="Q124" s="250">
        <v>502.61469470232527</v>
      </c>
      <c r="R124" s="250">
        <v>522.67704431992058</v>
      </c>
      <c r="S124" s="250">
        <v>542.73939393751584</v>
      </c>
      <c r="T124" s="250">
        <v>562.80174355511133</v>
      </c>
      <c r="U124" s="250">
        <v>582.86409317270693</v>
      </c>
      <c r="V124" s="249">
        <v>603.79671197015512</v>
      </c>
      <c r="W124" s="249">
        <v>623.85906158775049</v>
      </c>
      <c r="X124" s="250">
        <v>643.92141120534586</v>
      </c>
      <c r="Y124" s="250">
        <v>663.98376082294135</v>
      </c>
      <c r="Z124" s="260" t="s">
        <v>7</v>
      </c>
      <c r="AA124" s="260" t="s">
        <v>7</v>
      </c>
      <c r="AB124" s="261" t="s">
        <v>7</v>
      </c>
      <c r="AC124" s="259" t="s">
        <v>7</v>
      </c>
      <c r="AD124" s="260" t="s">
        <v>7</v>
      </c>
      <c r="AE124" s="260" t="s">
        <v>7</v>
      </c>
      <c r="AF124" s="260" t="s">
        <v>7</v>
      </c>
      <c r="AG124" s="260" t="s">
        <v>7</v>
      </c>
      <c r="AH124" s="261" t="s">
        <v>7</v>
      </c>
    </row>
    <row r="125" spans="1:34" s="160" customFormat="1" ht="15.45" x14ac:dyDescent="0.4">
      <c r="A125" s="269"/>
      <c r="B125" s="170">
        <v>1050</v>
      </c>
      <c r="C125" s="262">
        <v>231.03090560306066</v>
      </c>
      <c r="D125" s="252">
        <v>244.83712830037351</v>
      </c>
      <c r="E125" s="252">
        <v>265.54646234634282</v>
      </c>
      <c r="F125" s="252">
        <v>287.2711104354737</v>
      </c>
      <c r="G125" s="252">
        <v>307.98044448144299</v>
      </c>
      <c r="H125" s="252">
        <v>328.68977852741233</v>
      </c>
      <c r="I125" s="252">
        <v>349.39911257338156</v>
      </c>
      <c r="J125" s="252">
        <v>370.1084466193509</v>
      </c>
      <c r="K125" s="252">
        <v>390.81778066532019</v>
      </c>
      <c r="L125" s="252">
        <v>411.52711471128947</v>
      </c>
      <c r="M125" s="252">
        <v>432.23644875725881</v>
      </c>
      <c r="N125" s="252">
        <v>453.96109684638975</v>
      </c>
      <c r="O125" s="252">
        <v>474.67043089235898</v>
      </c>
      <c r="P125" s="253">
        <v>495.37976493832838</v>
      </c>
      <c r="Q125" s="253">
        <v>516.08909898429761</v>
      </c>
      <c r="R125" s="253">
        <v>536.79843303026678</v>
      </c>
      <c r="S125" s="253">
        <v>557.50776707623618</v>
      </c>
      <c r="T125" s="253">
        <v>578.21710112220546</v>
      </c>
      <c r="U125" s="253">
        <v>598.92643516817475</v>
      </c>
      <c r="V125" s="252">
        <v>620.65108325730569</v>
      </c>
      <c r="W125" s="252">
        <v>641.36041730327497</v>
      </c>
      <c r="X125" s="253">
        <v>662.06975134924437</v>
      </c>
      <c r="Y125" s="253">
        <v>682.77908539521354</v>
      </c>
      <c r="Z125" s="260" t="s">
        <v>7</v>
      </c>
      <c r="AA125" s="260" t="s">
        <v>7</v>
      </c>
      <c r="AB125" s="261" t="s">
        <v>7</v>
      </c>
      <c r="AC125" s="259" t="s">
        <v>7</v>
      </c>
      <c r="AD125" s="260" t="s">
        <v>7</v>
      </c>
      <c r="AE125" s="260" t="s">
        <v>7</v>
      </c>
      <c r="AF125" s="260" t="s">
        <v>7</v>
      </c>
      <c r="AG125" s="260" t="s">
        <v>7</v>
      </c>
      <c r="AH125" s="261" t="s">
        <v>7</v>
      </c>
    </row>
    <row r="126" spans="1:34" s="160" customFormat="1" ht="15.45" x14ac:dyDescent="0.4">
      <c r="A126" s="269"/>
      <c r="B126" s="170">
        <v>1200</v>
      </c>
      <c r="C126" s="262">
        <v>235.37309963730578</v>
      </c>
      <c r="D126" s="252">
        <v>249.61064528686785</v>
      </c>
      <c r="E126" s="252">
        <v>270.9669637612111</v>
      </c>
      <c r="F126" s="252">
        <v>293.48364114202457</v>
      </c>
      <c r="G126" s="252">
        <v>314.83995961636771</v>
      </c>
      <c r="H126" s="252">
        <v>336.1962780907109</v>
      </c>
      <c r="I126" s="252">
        <v>357.5525965650541</v>
      </c>
      <c r="J126" s="252">
        <v>378.90891503939736</v>
      </c>
      <c r="K126" s="252">
        <v>400.26523351374044</v>
      </c>
      <c r="L126" s="252">
        <v>421.62155198808375</v>
      </c>
      <c r="M126" s="252">
        <v>442.97787046242689</v>
      </c>
      <c r="N126" s="252">
        <v>465.49454784324035</v>
      </c>
      <c r="O126" s="252">
        <v>486.8508663175835</v>
      </c>
      <c r="P126" s="253">
        <v>508.20718479192692</v>
      </c>
      <c r="Q126" s="253">
        <v>529.56350326626989</v>
      </c>
      <c r="R126" s="253">
        <v>550.91982174061309</v>
      </c>
      <c r="S126" s="253">
        <v>572.2761402149564</v>
      </c>
      <c r="T126" s="253">
        <v>593.63245868929937</v>
      </c>
      <c r="U126" s="253">
        <v>614.98877716364257</v>
      </c>
      <c r="V126" s="252">
        <v>637.50545454445614</v>
      </c>
      <c r="W126" s="252">
        <v>658.86177301879934</v>
      </c>
      <c r="X126" s="253">
        <v>680.21809149314254</v>
      </c>
      <c r="Y126" s="253">
        <v>701.57440996748574</v>
      </c>
      <c r="Z126" s="260" t="s">
        <v>7</v>
      </c>
      <c r="AA126" s="260" t="s">
        <v>7</v>
      </c>
      <c r="AB126" s="261" t="s">
        <v>7</v>
      </c>
      <c r="AC126" s="259" t="s">
        <v>7</v>
      </c>
      <c r="AD126" s="260" t="s">
        <v>7</v>
      </c>
      <c r="AE126" s="260" t="s">
        <v>7</v>
      </c>
      <c r="AF126" s="260" t="s">
        <v>7</v>
      </c>
      <c r="AG126" s="260" t="s">
        <v>7</v>
      </c>
      <c r="AH126" s="261" t="s">
        <v>7</v>
      </c>
    </row>
    <row r="127" spans="1:34" s="160" customFormat="1" ht="15.45" x14ac:dyDescent="0.4">
      <c r="A127" s="269"/>
      <c r="B127" s="170">
        <v>1350</v>
      </c>
      <c r="C127" s="262">
        <v>239.71529367155085</v>
      </c>
      <c r="D127" s="252">
        <v>254.38416227336231</v>
      </c>
      <c r="E127" s="252">
        <v>276.38746517607927</v>
      </c>
      <c r="F127" s="252">
        <v>299.6961718485756</v>
      </c>
      <c r="G127" s="252">
        <v>321.6994747512926</v>
      </c>
      <c r="H127" s="252">
        <v>343.70277765400971</v>
      </c>
      <c r="I127" s="252">
        <v>365.70608055672665</v>
      </c>
      <c r="J127" s="252">
        <v>387.7093834594437</v>
      </c>
      <c r="K127" s="252">
        <v>409.71268636216064</v>
      </c>
      <c r="L127" s="252">
        <v>431.71598926487775</v>
      </c>
      <c r="M127" s="252">
        <v>453.71929216759497</v>
      </c>
      <c r="N127" s="252">
        <v>477.02799884009113</v>
      </c>
      <c r="O127" s="252">
        <v>499.03130174280813</v>
      </c>
      <c r="P127" s="253">
        <v>521.03460464552518</v>
      </c>
      <c r="Q127" s="253">
        <v>543.03790754824217</v>
      </c>
      <c r="R127" s="253">
        <v>565.0412104509594</v>
      </c>
      <c r="S127" s="253">
        <v>587.04451335367639</v>
      </c>
      <c r="T127" s="253">
        <v>609.0478162563935</v>
      </c>
      <c r="U127" s="253">
        <v>631.05111915911061</v>
      </c>
      <c r="V127" s="252">
        <v>654.35982583160683</v>
      </c>
      <c r="W127" s="252">
        <v>676.36312873432394</v>
      </c>
      <c r="X127" s="253">
        <v>698.36643163704082</v>
      </c>
      <c r="Y127" s="253">
        <v>720.36973453975804</v>
      </c>
      <c r="Z127" s="260" t="s">
        <v>7</v>
      </c>
      <c r="AA127" s="260" t="s">
        <v>7</v>
      </c>
      <c r="AB127" s="261" t="s">
        <v>7</v>
      </c>
      <c r="AC127" s="259" t="s">
        <v>7</v>
      </c>
      <c r="AD127" s="260" t="s">
        <v>7</v>
      </c>
      <c r="AE127" s="260" t="s">
        <v>7</v>
      </c>
      <c r="AF127" s="260" t="s">
        <v>7</v>
      </c>
      <c r="AG127" s="260" t="s">
        <v>7</v>
      </c>
      <c r="AH127" s="261" t="s">
        <v>7</v>
      </c>
    </row>
    <row r="128" spans="1:34" s="160" customFormat="1" ht="15.45" x14ac:dyDescent="0.4">
      <c r="A128" s="269"/>
      <c r="B128" s="170">
        <v>1500</v>
      </c>
      <c r="C128" s="262">
        <v>244.05748770579598</v>
      </c>
      <c r="D128" s="252">
        <v>259.15767925985659</v>
      </c>
      <c r="E128" s="252">
        <v>281.80796659094756</v>
      </c>
      <c r="F128" s="252">
        <v>305.90870255512647</v>
      </c>
      <c r="G128" s="252">
        <v>328.55898988621738</v>
      </c>
      <c r="H128" s="252">
        <v>351.20927721730828</v>
      </c>
      <c r="I128" s="252">
        <v>373.85956454839925</v>
      </c>
      <c r="J128" s="252">
        <v>396.5098518794901</v>
      </c>
      <c r="K128" s="252">
        <v>419.16013921058106</v>
      </c>
      <c r="L128" s="252">
        <v>441.81042654167203</v>
      </c>
      <c r="M128" s="252">
        <v>464.46071387276299</v>
      </c>
      <c r="N128" s="252">
        <v>488.56144983694185</v>
      </c>
      <c r="O128" s="252">
        <v>511.21173716803293</v>
      </c>
      <c r="P128" s="253">
        <v>533.86202449912378</v>
      </c>
      <c r="Q128" s="253">
        <v>556.51231183021468</v>
      </c>
      <c r="R128" s="253">
        <v>579.16259916130559</v>
      </c>
      <c r="S128" s="253">
        <v>601.81288649239627</v>
      </c>
      <c r="T128" s="253">
        <v>624.46317382348741</v>
      </c>
      <c r="U128" s="253">
        <v>647.11346115457843</v>
      </c>
      <c r="V128" s="252">
        <v>671.21419711875728</v>
      </c>
      <c r="W128" s="252">
        <v>693.86448444984808</v>
      </c>
      <c r="X128" s="253">
        <v>716.51477178093921</v>
      </c>
      <c r="Y128" s="253">
        <v>739.16505911203012</v>
      </c>
      <c r="Z128" s="260" t="s">
        <v>7</v>
      </c>
      <c r="AA128" s="260" t="s">
        <v>7</v>
      </c>
      <c r="AB128" s="261" t="s">
        <v>7</v>
      </c>
      <c r="AC128" s="259" t="s">
        <v>7</v>
      </c>
      <c r="AD128" s="260" t="s">
        <v>7</v>
      </c>
      <c r="AE128" s="260" t="s">
        <v>7</v>
      </c>
      <c r="AF128" s="260" t="s">
        <v>7</v>
      </c>
      <c r="AG128" s="260" t="s">
        <v>7</v>
      </c>
      <c r="AH128" s="261" t="s">
        <v>7</v>
      </c>
    </row>
    <row r="129" spans="1:34" s="160" customFormat="1" ht="15" customHeight="1" x14ac:dyDescent="0.4">
      <c r="A129" s="269"/>
      <c r="B129" s="170">
        <v>1650</v>
      </c>
      <c r="C129" s="262">
        <v>248.39968174004113</v>
      </c>
      <c r="D129" s="252">
        <v>263.93119624635096</v>
      </c>
      <c r="E129" s="252">
        <v>287.22846800581573</v>
      </c>
      <c r="F129" s="252">
        <v>312.12123326167739</v>
      </c>
      <c r="G129" s="252">
        <v>335.41850502114215</v>
      </c>
      <c r="H129" s="252">
        <v>358.71577678060703</v>
      </c>
      <c r="I129" s="252">
        <v>382.01304854007174</v>
      </c>
      <c r="J129" s="252">
        <v>405.31032029953661</v>
      </c>
      <c r="K129" s="252">
        <v>428.60759205900143</v>
      </c>
      <c r="L129" s="252">
        <v>451.90486381846614</v>
      </c>
      <c r="M129" s="252">
        <v>475.20213557793102</v>
      </c>
      <c r="N129" s="252">
        <v>500.09490083379268</v>
      </c>
      <c r="O129" s="252">
        <v>523.39217259325744</v>
      </c>
      <c r="P129" s="253">
        <v>546.68944435272215</v>
      </c>
      <c r="Q129" s="253">
        <v>569.98671611218685</v>
      </c>
      <c r="R129" s="253">
        <v>593.28398787165179</v>
      </c>
      <c r="S129" s="253">
        <v>616.58125963111661</v>
      </c>
      <c r="T129" s="253">
        <v>639.87853139058143</v>
      </c>
      <c r="U129" s="253">
        <v>663.17580315004625</v>
      </c>
      <c r="V129" s="252">
        <v>688.06856840590785</v>
      </c>
      <c r="W129" s="252">
        <v>711.36584016537279</v>
      </c>
      <c r="X129" s="253">
        <v>734.66311192483749</v>
      </c>
      <c r="Y129" s="253">
        <v>757.9603836843022</v>
      </c>
      <c r="Z129" s="260" t="s">
        <v>7</v>
      </c>
      <c r="AA129" s="260" t="s">
        <v>7</v>
      </c>
      <c r="AB129" s="261" t="s">
        <v>7</v>
      </c>
      <c r="AC129" s="259" t="s">
        <v>7</v>
      </c>
      <c r="AD129" s="260" t="s">
        <v>7</v>
      </c>
      <c r="AE129" s="260" t="s">
        <v>7</v>
      </c>
      <c r="AF129" s="260" t="s">
        <v>7</v>
      </c>
      <c r="AG129" s="260" t="s">
        <v>7</v>
      </c>
      <c r="AH129" s="261" t="s">
        <v>7</v>
      </c>
    </row>
    <row r="130" spans="1:34" s="160" customFormat="1" ht="15" customHeight="1" x14ac:dyDescent="0.4">
      <c r="A130" s="269"/>
      <c r="B130" s="170">
        <v>1800</v>
      </c>
      <c r="C130" s="262">
        <v>252.74187577428626</v>
      </c>
      <c r="D130" s="252">
        <v>268.70471323284534</v>
      </c>
      <c r="E130" s="252">
        <v>292.64896942068401</v>
      </c>
      <c r="F130" s="252">
        <v>318.33376396822837</v>
      </c>
      <c r="G130" s="252">
        <v>342.27802015606704</v>
      </c>
      <c r="H130" s="252">
        <v>366.22227634390566</v>
      </c>
      <c r="I130" s="252">
        <v>390.16653253174434</v>
      </c>
      <c r="J130" s="252">
        <v>414.11078871958301</v>
      </c>
      <c r="K130" s="252">
        <v>438.05504490742175</v>
      </c>
      <c r="L130" s="252">
        <v>461.99930109526036</v>
      </c>
      <c r="M130" s="252">
        <v>485.94355728309904</v>
      </c>
      <c r="N130" s="252">
        <v>511.62835183064334</v>
      </c>
      <c r="O130" s="252">
        <v>535.57260801848201</v>
      </c>
      <c r="P130" s="253">
        <v>559.51686420632075</v>
      </c>
      <c r="Q130" s="253">
        <v>583.46112039415948</v>
      </c>
      <c r="R130" s="253">
        <v>607.4053765819981</v>
      </c>
      <c r="S130" s="253">
        <v>631.34963276983672</v>
      </c>
      <c r="T130" s="253">
        <v>655.29388895767545</v>
      </c>
      <c r="U130" s="253">
        <v>679.23814514551407</v>
      </c>
      <c r="V130" s="252">
        <v>704.92293969305854</v>
      </c>
      <c r="W130" s="252">
        <v>728.86719588089716</v>
      </c>
      <c r="X130" s="253">
        <v>752.81145206873589</v>
      </c>
      <c r="Y130" s="253">
        <v>776.75570825657439</v>
      </c>
      <c r="Z130" s="260" t="s">
        <v>7</v>
      </c>
      <c r="AA130" s="260" t="s">
        <v>7</v>
      </c>
      <c r="AB130" s="261" t="s">
        <v>7</v>
      </c>
      <c r="AC130" s="259" t="s">
        <v>7</v>
      </c>
      <c r="AD130" s="260" t="s">
        <v>7</v>
      </c>
      <c r="AE130" s="260" t="s">
        <v>7</v>
      </c>
      <c r="AF130" s="260" t="s">
        <v>7</v>
      </c>
      <c r="AG130" s="260" t="s">
        <v>7</v>
      </c>
      <c r="AH130" s="261" t="s">
        <v>7</v>
      </c>
    </row>
    <row r="131" spans="1:34" s="160" customFormat="1" ht="15" customHeight="1" x14ac:dyDescent="0.4">
      <c r="A131" s="269"/>
      <c r="B131" s="170">
        <v>1950</v>
      </c>
      <c r="C131" s="262">
        <v>257.0840698085313</v>
      </c>
      <c r="D131" s="252">
        <v>273.47823021933971</v>
      </c>
      <c r="E131" s="252">
        <v>298.06947083555224</v>
      </c>
      <c r="F131" s="252">
        <v>324.54629467477923</v>
      </c>
      <c r="G131" s="252">
        <v>349.13753529099171</v>
      </c>
      <c r="H131" s="252">
        <v>373.72877590720424</v>
      </c>
      <c r="I131" s="252">
        <v>398.32001652341688</v>
      </c>
      <c r="J131" s="252">
        <v>422.91125713962941</v>
      </c>
      <c r="K131" s="252">
        <v>447.502497755842</v>
      </c>
      <c r="L131" s="252">
        <v>472.09373837205459</v>
      </c>
      <c r="M131" s="252">
        <v>496.68497898826718</v>
      </c>
      <c r="N131" s="252">
        <v>523.16180282749406</v>
      </c>
      <c r="O131" s="252">
        <v>547.7530434437067</v>
      </c>
      <c r="P131" s="253">
        <v>572.34428405991912</v>
      </c>
      <c r="Q131" s="253">
        <v>596.93552467613176</v>
      </c>
      <c r="R131" s="253">
        <v>621.52676529234429</v>
      </c>
      <c r="S131" s="253">
        <v>646.11800590855694</v>
      </c>
      <c r="T131" s="253">
        <v>670.70924652476936</v>
      </c>
      <c r="U131" s="253">
        <v>695.30048714098211</v>
      </c>
      <c r="V131" s="252">
        <v>721.77731098020899</v>
      </c>
      <c r="W131" s="252">
        <v>746.36855159642153</v>
      </c>
      <c r="X131" s="253">
        <v>770.95979221263417</v>
      </c>
      <c r="Y131" s="253">
        <v>795.5510328288467</v>
      </c>
      <c r="Z131" s="260" t="s">
        <v>7</v>
      </c>
      <c r="AA131" s="260" t="s">
        <v>7</v>
      </c>
      <c r="AB131" s="261" t="s">
        <v>7</v>
      </c>
      <c r="AC131" s="259" t="s">
        <v>7</v>
      </c>
      <c r="AD131" s="260" t="s">
        <v>7</v>
      </c>
      <c r="AE131" s="260" t="s">
        <v>7</v>
      </c>
      <c r="AF131" s="260" t="s">
        <v>7</v>
      </c>
      <c r="AG131" s="260" t="s">
        <v>7</v>
      </c>
      <c r="AH131" s="261" t="s">
        <v>7</v>
      </c>
    </row>
    <row r="132" spans="1:34" s="160" customFormat="1" ht="15" customHeight="1" x14ac:dyDescent="0.4">
      <c r="A132" s="269"/>
      <c r="B132" s="170">
        <v>2100</v>
      </c>
      <c r="C132" s="262">
        <v>261.42626384277645</v>
      </c>
      <c r="D132" s="252">
        <v>278.25174720583402</v>
      </c>
      <c r="E132" s="252">
        <v>303.48997225042046</v>
      </c>
      <c r="F132" s="252">
        <v>330.75882538133015</v>
      </c>
      <c r="G132" s="252">
        <v>355.99705042591665</v>
      </c>
      <c r="H132" s="252">
        <v>381.23527547050298</v>
      </c>
      <c r="I132" s="252">
        <v>406.47350051508948</v>
      </c>
      <c r="J132" s="252">
        <v>431.71172555967593</v>
      </c>
      <c r="K132" s="252">
        <v>456.94995060426231</v>
      </c>
      <c r="L132" s="252">
        <v>482.18817564884876</v>
      </c>
      <c r="M132" s="252">
        <v>507.4264006934352</v>
      </c>
      <c r="N132" s="252">
        <v>534.69525382434483</v>
      </c>
      <c r="O132" s="252">
        <v>559.93347886893139</v>
      </c>
      <c r="P132" s="253">
        <v>585.17170391351772</v>
      </c>
      <c r="Q132" s="253">
        <v>610.40992895810416</v>
      </c>
      <c r="R132" s="253">
        <v>635.6481540026906</v>
      </c>
      <c r="S132" s="253">
        <v>660.88637904727705</v>
      </c>
      <c r="T132" s="253">
        <v>686.1246040918636</v>
      </c>
      <c r="U132" s="253">
        <v>711.36282913644993</v>
      </c>
      <c r="V132" s="252">
        <v>738.63168226735957</v>
      </c>
      <c r="W132" s="252">
        <v>763.86990731194589</v>
      </c>
      <c r="X132" s="253">
        <v>789.10813235653245</v>
      </c>
      <c r="Y132" s="253">
        <v>814.34635740111901</v>
      </c>
      <c r="Z132" s="260" t="s">
        <v>7</v>
      </c>
      <c r="AA132" s="260" t="s">
        <v>7</v>
      </c>
      <c r="AB132" s="261" t="s">
        <v>7</v>
      </c>
      <c r="AC132" s="259" t="s">
        <v>7</v>
      </c>
      <c r="AD132" s="260" t="s">
        <v>7</v>
      </c>
      <c r="AE132" s="260" t="s">
        <v>7</v>
      </c>
      <c r="AF132" s="260" t="s">
        <v>7</v>
      </c>
      <c r="AG132" s="260" t="s">
        <v>7</v>
      </c>
      <c r="AH132" s="261" t="s">
        <v>7</v>
      </c>
    </row>
    <row r="133" spans="1:34" s="160" customFormat="1" ht="15" customHeight="1" x14ac:dyDescent="0.4">
      <c r="A133" s="269"/>
      <c r="B133" s="170">
        <v>2250</v>
      </c>
      <c r="C133" s="262">
        <v>265.76845787702155</v>
      </c>
      <c r="D133" s="252">
        <v>283.02526419232845</v>
      </c>
      <c r="E133" s="252">
        <v>308.91047366528875</v>
      </c>
      <c r="F133" s="252">
        <v>336.97135608788108</v>
      </c>
      <c r="G133" s="252">
        <v>362.85656556084143</v>
      </c>
      <c r="H133" s="252">
        <v>388.74177503380167</v>
      </c>
      <c r="I133" s="252">
        <v>414.62698450676203</v>
      </c>
      <c r="J133" s="252">
        <v>440.51219397972233</v>
      </c>
      <c r="K133" s="252">
        <v>466.39740345268262</v>
      </c>
      <c r="L133" s="252">
        <v>492.28261292564304</v>
      </c>
      <c r="M133" s="252">
        <v>518.16782239860333</v>
      </c>
      <c r="N133" s="252">
        <v>546.22870482119561</v>
      </c>
      <c r="O133" s="252">
        <v>572.11391429415585</v>
      </c>
      <c r="P133" s="253">
        <v>597.9991237671162</v>
      </c>
      <c r="Q133" s="253">
        <v>623.88433324007656</v>
      </c>
      <c r="R133" s="253">
        <v>649.7695427130368</v>
      </c>
      <c r="S133" s="253">
        <v>675.65475218599715</v>
      </c>
      <c r="T133" s="253">
        <v>701.53996165895762</v>
      </c>
      <c r="U133" s="253">
        <v>727.42517113191775</v>
      </c>
      <c r="V133" s="252">
        <v>755.48605355451014</v>
      </c>
      <c r="W133" s="252">
        <v>781.37126302747038</v>
      </c>
      <c r="X133" s="253">
        <v>807.25647250043073</v>
      </c>
      <c r="Y133" s="253">
        <v>833.14168197339109</v>
      </c>
      <c r="Z133" s="260" t="s">
        <v>7</v>
      </c>
      <c r="AA133" s="260" t="s">
        <v>7</v>
      </c>
      <c r="AB133" s="261" t="s">
        <v>7</v>
      </c>
      <c r="AC133" s="259" t="s">
        <v>7</v>
      </c>
      <c r="AD133" s="260" t="s">
        <v>7</v>
      </c>
      <c r="AE133" s="260" t="s">
        <v>7</v>
      </c>
      <c r="AF133" s="260" t="s">
        <v>7</v>
      </c>
      <c r="AG133" s="260" t="s">
        <v>7</v>
      </c>
      <c r="AH133" s="261" t="s">
        <v>7</v>
      </c>
    </row>
    <row r="134" spans="1:34" s="160" customFormat="1" ht="15" customHeight="1" x14ac:dyDescent="0.4">
      <c r="A134" s="269"/>
      <c r="B134" s="170">
        <v>2400</v>
      </c>
      <c r="C134" s="260" t="s">
        <v>7</v>
      </c>
      <c r="D134" s="260" t="s">
        <v>7</v>
      </c>
      <c r="E134" s="260" t="s">
        <v>7</v>
      </c>
      <c r="F134" s="260" t="s">
        <v>7</v>
      </c>
      <c r="G134" s="260" t="s">
        <v>7</v>
      </c>
      <c r="H134" s="260" t="s">
        <v>7</v>
      </c>
      <c r="I134" s="260" t="s">
        <v>7</v>
      </c>
      <c r="J134" s="260" t="s">
        <v>7</v>
      </c>
      <c r="K134" s="260" t="s">
        <v>7</v>
      </c>
      <c r="L134" s="260" t="s">
        <v>7</v>
      </c>
      <c r="M134" s="260" t="s">
        <v>7</v>
      </c>
      <c r="N134" s="260" t="s">
        <v>7</v>
      </c>
      <c r="O134" s="260" t="s">
        <v>7</v>
      </c>
      <c r="P134" s="260" t="s">
        <v>7</v>
      </c>
      <c r="Q134" s="260" t="s">
        <v>7</v>
      </c>
      <c r="R134" s="260" t="s">
        <v>7</v>
      </c>
      <c r="S134" s="260" t="s">
        <v>7</v>
      </c>
      <c r="T134" s="260" t="s">
        <v>7</v>
      </c>
      <c r="U134" s="260" t="s">
        <v>7</v>
      </c>
      <c r="V134" s="260" t="s">
        <v>7</v>
      </c>
      <c r="W134" s="260" t="s">
        <v>7</v>
      </c>
      <c r="X134" s="260" t="s">
        <v>7</v>
      </c>
      <c r="Y134" s="260" t="s">
        <v>7</v>
      </c>
      <c r="Z134" s="260" t="s">
        <v>7</v>
      </c>
      <c r="AA134" s="260" t="s">
        <v>7</v>
      </c>
      <c r="AB134" s="261" t="s">
        <v>7</v>
      </c>
      <c r="AC134" s="259" t="s">
        <v>7</v>
      </c>
      <c r="AD134" s="260" t="s">
        <v>7</v>
      </c>
      <c r="AE134" s="260" t="s">
        <v>7</v>
      </c>
      <c r="AF134" s="260" t="s">
        <v>7</v>
      </c>
      <c r="AG134" s="260" t="s">
        <v>7</v>
      </c>
      <c r="AH134" s="261" t="s">
        <v>7</v>
      </c>
    </row>
    <row r="135" spans="1:34" s="160" customFormat="1" ht="15" customHeight="1" x14ac:dyDescent="0.4">
      <c r="A135" s="269"/>
      <c r="B135" s="170">
        <v>2550</v>
      </c>
      <c r="C135" s="260" t="s">
        <v>7</v>
      </c>
      <c r="D135" s="260" t="s">
        <v>7</v>
      </c>
      <c r="E135" s="260" t="s">
        <v>7</v>
      </c>
      <c r="F135" s="260" t="s">
        <v>7</v>
      </c>
      <c r="G135" s="260" t="s">
        <v>7</v>
      </c>
      <c r="H135" s="260" t="s">
        <v>7</v>
      </c>
      <c r="I135" s="260" t="s">
        <v>7</v>
      </c>
      <c r="J135" s="260" t="s">
        <v>7</v>
      </c>
      <c r="K135" s="260" t="s">
        <v>7</v>
      </c>
      <c r="L135" s="260" t="s">
        <v>7</v>
      </c>
      <c r="M135" s="260" t="s">
        <v>7</v>
      </c>
      <c r="N135" s="260" t="s">
        <v>7</v>
      </c>
      <c r="O135" s="260" t="s">
        <v>7</v>
      </c>
      <c r="P135" s="260" t="s">
        <v>7</v>
      </c>
      <c r="Q135" s="260" t="s">
        <v>7</v>
      </c>
      <c r="R135" s="260" t="s">
        <v>7</v>
      </c>
      <c r="S135" s="260" t="s">
        <v>7</v>
      </c>
      <c r="T135" s="260" t="s">
        <v>7</v>
      </c>
      <c r="U135" s="260" t="s">
        <v>7</v>
      </c>
      <c r="V135" s="260" t="s">
        <v>7</v>
      </c>
      <c r="W135" s="260" t="s">
        <v>7</v>
      </c>
      <c r="X135" s="260" t="s">
        <v>7</v>
      </c>
      <c r="Y135" s="260" t="s">
        <v>7</v>
      </c>
      <c r="Z135" s="260" t="s">
        <v>7</v>
      </c>
      <c r="AA135" s="260" t="s">
        <v>7</v>
      </c>
      <c r="AB135" s="261" t="s">
        <v>7</v>
      </c>
      <c r="AC135" s="259" t="s">
        <v>7</v>
      </c>
      <c r="AD135" s="260" t="s">
        <v>7</v>
      </c>
      <c r="AE135" s="260" t="s">
        <v>7</v>
      </c>
      <c r="AF135" s="260" t="s">
        <v>7</v>
      </c>
      <c r="AG135" s="260" t="s">
        <v>7</v>
      </c>
      <c r="AH135" s="261" t="s">
        <v>7</v>
      </c>
    </row>
    <row r="136" spans="1:34" s="160" customFormat="1" ht="15" customHeight="1" x14ac:dyDescent="0.4">
      <c r="A136" s="269"/>
      <c r="B136" s="170">
        <v>2700</v>
      </c>
      <c r="C136" s="260" t="s">
        <v>7</v>
      </c>
      <c r="D136" s="260" t="s">
        <v>7</v>
      </c>
      <c r="E136" s="260" t="s">
        <v>7</v>
      </c>
      <c r="F136" s="260" t="s">
        <v>7</v>
      </c>
      <c r="G136" s="260" t="s">
        <v>7</v>
      </c>
      <c r="H136" s="260" t="s">
        <v>7</v>
      </c>
      <c r="I136" s="260" t="s">
        <v>7</v>
      </c>
      <c r="J136" s="260" t="s">
        <v>7</v>
      </c>
      <c r="K136" s="260" t="s">
        <v>7</v>
      </c>
      <c r="L136" s="260" t="s">
        <v>7</v>
      </c>
      <c r="M136" s="260" t="s">
        <v>7</v>
      </c>
      <c r="N136" s="260" t="s">
        <v>7</v>
      </c>
      <c r="O136" s="260" t="s">
        <v>7</v>
      </c>
      <c r="P136" s="260" t="s">
        <v>7</v>
      </c>
      <c r="Q136" s="260" t="s">
        <v>7</v>
      </c>
      <c r="R136" s="260" t="s">
        <v>7</v>
      </c>
      <c r="S136" s="260" t="s">
        <v>7</v>
      </c>
      <c r="T136" s="260" t="s">
        <v>7</v>
      </c>
      <c r="U136" s="260" t="s">
        <v>7</v>
      </c>
      <c r="V136" s="260" t="s">
        <v>7</v>
      </c>
      <c r="W136" s="260" t="s">
        <v>7</v>
      </c>
      <c r="X136" s="260" t="s">
        <v>7</v>
      </c>
      <c r="Y136" s="260" t="s">
        <v>7</v>
      </c>
      <c r="Z136" s="260" t="s">
        <v>7</v>
      </c>
      <c r="AA136" s="260" t="s">
        <v>7</v>
      </c>
      <c r="AB136" s="261" t="s">
        <v>7</v>
      </c>
      <c r="AC136" s="259" t="s">
        <v>7</v>
      </c>
      <c r="AD136" s="260" t="s">
        <v>7</v>
      </c>
      <c r="AE136" s="260" t="s">
        <v>7</v>
      </c>
      <c r="AF136" s="260" t="s">
        <v>7</v>
      </c>
      <c r="AG136" s="260" t="s">
        <v>7</v>
      </c>
      <c r="AH136" s="261" t="s">
        <v>7</v>
      </c>
    </row>
    <row r="137" spans="1:34" s="160" customFormat="1" ht="15" customHeight="1" x14ac:dyDescent="0.4">
      <c r="A137" s="269"/>
      <c r="B137" s="170">
        <v>2850</v>
      </c>
      <c r="C137" s="260" t="s">
        <v>7</v>
      </c>
      <c r="D137" s="260" t="s">
        <v>7</v>
      </c>
      <c r="E137" s="260" t="s">
        <v>7</v>
      </c>
      <c r="F137" s="260" t="s">
        <v>7</v>
      </c>
      <c r="G137" s="260" t="s">
        <v>7</v>
      </c>
      <c r="H137" s="260" t="s">
        <v>7</v>
      </c>
      <c r="I137" s="260" t="s">
        <v>7</v>
      </c>
      <c r="J137" s="260" t="s">
        <v>7</v>
      </c>
      <c r="K137" s="260" t="s">
        <v>7</v>
      </c>
      <c r="L137" s="260" t="s">
        <v>7</v>
      </c>
      <c r="M137" s="260" t="s">
        <v>7</v>
      </c>
      <c r="N137" s="260" t="s">
        <v>7</v>
      </c>
      <c r="O137" s="260" t="s">
        <v>7</v>
      </c>
      <c r="P137" s="260" t="s">
        <v>7</v>
      </c>
      <c r="Q137" s="260" t="s">
        <v>7</v>
      </c>
      <c r="R137" s="260" t="s">
        <v>7</v>
      </c>
      <c r="S137" s="260" t="s">
        <v>7</v>
      </c>
      <c r="T137" s="260" t="s">
        <v>7</v>
      </c>
      <c r="U137" s="260" t="s">
        <v>7</v>
      </c>
      <c r="V137" s="260" t="s">
        <v>7</v>
      </c>
      <c r="W137" s="260" t="s">
        <v>7</v>
      </c>
      <c r="X137" s="260" t="s">
        <v>7</v>
      </c>
      <c r="Y137" s="260" t="s">
        <v>7</v>
      </c>
      <c r="Z137" s="260" t="s">
        <v>7</v>
      </c>
      <c r="AA137" s="260" t="s">
        <v>7</v>
      </c>
      <c r="AB137" s="261" t="s">
        <v>7</v>
      </c>
      <c r="AC137" s="259" t="s">
        <v>7</v>
      </c>
      <c r="AD137" s="260" t="s">
        <v>7</v>
      </c>
      <c r="AE137" s="260" t="s">
        <v>7</v>
      </c>
      <c r="AF137" s="260" t="s">
        <v>7</v>
      </c>
      <c r="AG137" s="260" t="s">
        <v>7</v>
      </c>
      <c r="AH137" s="261" t="s">
        <v>7</v>
      </c>
    </row>
    <row r="138" spans="1:34" s="160" customFormat="1" ht="15" customHeight="1" thickBot="1" x14ac:dyDescent="0.45">
      <c r="A138" s="269"/>
      <c r="B138" s="171">
        <v>3000</v>
      </c>
      <c r="C138" s="267" t="s">
        <v>7</v>
      </c>
      <c r="D138" s="267" t="s">
        <v>7</v>
      </c>
      <c r="E138" s="267" t="s">
        <v>7</v>
      </c>
      <c r="F138" s="267" t="s">
        <v>7</v>
      </c>
      <c r="G138" s="267" t="s">
        <v>7</v>
      </c>
      <c r="H138" s="267" t="s">
        <v>7</v>
      </c>
      <c r="I138" s="267" t="s">
        <v>7</v>
      </c>
      <c r="J138" s="267" t="s">
        <v>7</v>
      </c>
      <c r="K138" s="267" t="s">
        <v>7</v>
      </c>
      <c r="L138" s="267" t="s">
        <v>7</v>
      </c>
      <c r="M138" s="267" t="s">
        <v>7</v>
      </c>
      <c r="N138" s="267" t="s">
        <v>7</v>
      </c>
      <c r="O138" s="267" t="s">
        <v>7</v>
      </c>
      <c r="P138" s="267" t="s">
        <v>7</v>
      </c>
      <c r="Q138" s="267" t="s">
        <v>7</v>
      </c>
      <c r="R138" s="267" t="s">
        <v>7</v>
      </c>
      <c r="S138" s="267" t="s">
        <v>7</v>
      </c>
      <c r="T138" s="267" t="s">
        <v>7</v>
      </c>
      <c r="U138" s="267" t="s">
        <v>7</v>
      </c>
      <c r="V138" s="267" t="s">
        <v>7</v>
      </c>
      <c r="W138" s="267" t="s">
        <v>7</v>
      </c>
      <c r="X138" s="267" t="s">
        <v>7</v>
      </c>
      <c r="Y138" s="267" t="s">
        <v>7</v>
      </c>
      <c r="Z138" s="267" t="s">
        <v>7</v>
      </c>
      <c r="AA138" s="267" t="s">
        <v>7</v>
      </c>
      <c r="AB138" s="268" t="s">
        <v>7</v>
      </c>
      <c r="AC138" s="266" t="s">
        <v>7</v>
      </c>
      <c r="AD138" s="267" t="s">
        <v>7</v>
      </c>
      <c r="AE138" s="267" t="s">
        <v>7</v>
      </c>
      <c r="AF138" s="267" t="s">
        <v>7</v>
      </c>
      <c r="AG138" s="267" t="s">
        <v>7</v>
      </c>
      <c r="AH138" s="268" t="s">
        <v>7</v>
      </c>
    </row>
    <row r="139" spans="1:34" s="184" customFormat="1" x14ac:dyDescent="0.4"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</row>
    <row r="140" spans="1:34" s="184" customFormat="1" ht="45.9" thickBot="1" x14ac:dyDescent="1.1000000000000001">
      <c r="A140" s="271"/>
      <c r="B140" s="128" t="s">
        <v>44</v>
      </c>
      <c r="C140" s="128"/>
      <c r="D140" s="129"/>
      <c r="E140" s="129"/>
      <c r="F140" s="129"/>
      <c r="G140" s="129"/>
      <c r="H140" s="98"/>
      <c r="I140" s="130"/>
      <c r="J140" s="130"/>
      <c r="K140" s="130"/>
      <c r="L140" s="129"/>
      <c r="M140" s="129"/>
      <c r="N140" s="131"/>
      <c r="O140" s="132"/>
      <c r="P140" s="129"/>
      <c r="Q140" s="133"/>
      <c r="R140" s="133"/>
      <c r="S140" s="179"/>
      <c r="T140" s="133"/>
      <c r="U140" s="133"/>
      <c r="V140" s="133"/>
      <c r="W140" s="133"/>
      <c r="X140" s="133"/>
      <c r="Y140" s="133"/>
      <c r="Z140" s="133"/>
      <c r="AA140" s="180"/>
      <c r="AB140" s="133"/>
      <c r="AC140" s="133"/>
      <c r="AD140" s="133"/>
      <c r="AE140" s="133"/>
      <c r="AF140" s="133"/>
      <c r="AG140" s="133"/>
      <c r="AH140" s="133"/>
    </row>
    <row r="141" spans="1:34" s="184" customFormat="1" ht="15.9" thickBot="1" x14ac:dyDescent="0.45">
      <c r="A141" s="271"/>
      <c r="B141" s="134"/>
      <c r="C141" s="181">
        <v>800</v>
      </c>
      <c r="D141" s="136">
        <v>900</v>
      </c>
      <c r="E141" s="136">
        <v>1050</v>
      </c>
      <c r="F141" s="135">
        <v>1200</v>
      </c>
      <c r="G141" s="136">
        <v>1350</v>
      </c>
      <c r="H141" s="135">
        <v>1500</v>
      </c>
      <c r="I141" s="136">
        <v>1650</v>
      </c>
      <c r="J141" s="135">
        <v>1800</v>
      </c>
      <c r="K141" s="136">
        <v>1950</v>
      </c>
      <c r="L141" s="135">
        <v>2100</v>
      </c>
      <c r="M141" s="136">
        <v>2250</v>
      </c>
      <c r="N141" s="135">
        <v>2400</v>
      </c>
      <c r="O141" s="136">
        <v>2550</v>
      </c>
      <c r="P141" s="135">
        <v>2700</v>
      </c>
      <c r="Q141" s="136">
        <v>2850</v>
      </c>
      <c r="R141" s="135">
        <v>3000</v>
      </c>
      <c r="S141" s="136">
        <v>3150</v>
      </c>
      <c r="T141" s="135">
        <v>3300</v>
      </c>
      <c r="U141" s="136">
        <v>3450</v>
      </c>
      <c r="V141" s="135">
        <v>3600</v>
      </c>
      <c r="W141" s="136">
        <v>3750</v>
      </c>
      <c r="X141" s="135">
        <v>3900</v>
      </c>
      <c r="Y141" s="136">
        <v>4050</v>
      </c>
      <c r="Z141" s="135">
        <v>4200</v>
      </c>
      <c r="AA141" s="136">
        <v>4350</v>
      </c>
      <c r="AB141" s="167">
        <v>4500</v>
      </c>
      <c r="AC141" s="135">
        <v>4650</v>
      </c>
      <c r="AD141" s="136">
        <v>4800</v>
      </c>
      <c r="AE141" s="136">
        <v>4950</v>
      </c>
      <c r="AF141" s="135">
        <v>5100</v>
      </c>
      <c r="AG141" s="136">
        <v>5250</v>
      </c>
      <c r="AH141" s="137">
        <v>5400</v>
      </c>
    </row>
    <row r="142" spans="1:34" s="184" customFormat="1" ht="15.45" x14ac:dyDescent="0.4">
      <c r="A142" s="271"/>
      <c r="B142" s="138">
        <v>900</v>
      </c>
      <c r="C142" s="272">
        <v>242.82030373809553</v>
      </c>
      <c r="D142" s="249">
        <v>257.07970015394415</v>
      </c>
      <c r="E142" s="249">
        <v>278.46879477771705</v>
      </c>
      <c r="F142" s="249">
        <v>300.72815858134277</v>
      </c>
      <c r="G142" s="249">
        <v>322.11725320511579</v>
      </c>
      <c r="H142" s="249">
        <v>343.50634782888869</v>
      </c>
      <c r="I142" s="249">
        <v>364.89544245266148</v>
      </c>
      <c r="J142" s="249">
        <v>386.28453707643456</v>
      </c>
      <c r="K142" s="249">
        <v>407.6736317002073</v>
      </c>
      <c r="L142" s="249">
        <v>429.06272632398026</v>
      </c>
      <c r="M142" s="249">
        <v>450.45182094775316</v>
      </c>
      <c r="N142" s="249">
        <v>472.71118475137894</v>
      </c>
      <c r="O142" s="249">
        <v>494.10027937515196</v>
      </c>
      <c r="P142" s="250">
        <v>515.48937399892486</v>
      </c>
      <c r="Q142" s="250">
        <v>536.87846862269771</v>
      </c>
      <c r="R142" s="250">
        <v>558.26756324647067</v>
      </c>
      <c r="S142" s="250">
        <v>579.65665787024352</v>
      </c>
      <c r="T142" s="250">
        <v>601.04575249401648</v>
      </c>
      <c r="U142" s="250">
        <v>622.43484711778945</v>
      </c>
      <c r="V142" s="249">
        <v>644.69421092141499</v>
      </c>
      <c r="W142" s="249">
        <v>666.08330554518795</v>
      </c>
      <c r="X142" s="250">
        <v>687.4724001689608</v>
      </c>
      <c r="Y142" s="250">
        <v>708.86149479273388</v>
      </c>
      <c r="Z142" s="250">
        <v>730.25058941650673</v>
      </c>
      <c r="AA142" s="250">
        <v>751.63968404027969</v>
      </c>
      <c r="AB142" s="258">
        <v>773.02877866405265</v>
      </c>
      <c r="AC142" s="249">
        <v>794.4178732878255</v>
      </c>
      <c r="AD142" s="249">
        <v>816.67723709145116</v>
      </c>
      <c r="AE142" s="249">
        <v>838.06633171522412</v>
      </c>
      <c r="AF142" s="249">
        <v>859.45542633899709</v>
      </c>
      <c r="AG142" s="249">
        <v>880.84452096276993</v>
      </c>
      <c r="AH142" s="258">
        <v>902.23361558654301</v>
      </c>
    </row>
    <row r="143" spans="1:34" s="184" customFormat="1" ht="15.45" x14ac:dyDescent="0.4">
      <c r="A143" s="271"/>
      <c r="B143" s="139">
        <v>1050</v>
      </c>
      <c r="C143" s="273">
        <v>247.16249777234066</v>
      </c>
      <c r="D143" s="252">
        <v>261.85321714043852</v>
      </c>
      <c r="E143" s="252">
        <v>283.88929619258528</v>
      </c>
      <c r="F143" s="252">
        <v>306.94068928789369</v>
      </c>
      <c r="G143" s="252">
        <v>328.97676834004051</v>
      </c>
      <c r="H143" s="252">
        <v>351.01284739218733</v>
      </c>
      <c r="I143" s="252">
        <v>373.04892644433409</v>
      </c>
      <c r="J143" s="252">
        <v>395.08500549648085</v>
      </c>
      <c r="K143" s="252">
        <v>417.12108454862766</v>
      </c>
      <c r="L143" s="252">
        <v>439.15716360077442</v>
      </c>
      <c r="M143" s="252">
        <v>461.1932426529213</v>
      </c>
      <c r="N143" s="252">
        <v>484.24463574822965</v>
      </c>
      <c r="O143" s="252">
        <v>506.28071480037659</v>
      </c>
      <c r="P143" s="253">
        <v>528.31679385252335</v>
      </c>
      <c r="Q143" s="253">
        <v>550.35287290466999</v>
      </c>
      <c r="R143" s="253">
        <v>572.38895195681698</v>
      </c>
      <c r="S143" s="253">
        <v>594.42503100896363</v>
      </c>
      <c r="T143" s="253">
        <v>616.46111006111039</v>
      </c>
      <c r="U143" s="253">
        <v>638.49718911325738</v>
      </c>
      <c r="V143" s="252">
        <v>661.54858220856579</v>
      </c>
      <c r="W143" s="252">
        <v>683.58466126071244</v>
      </c>
      <c r="X143" s="253">
        <v>705.6207403128592</v>
      </c>
      <c r="Y143" s="253">
        <v>727.65681936500596</v>
      </c>
      <c r="Z143" s="253">
        <v>749.69289841715283</v>
      </c>
      <c r="AA143" s="253">
        <v>771.72897746929937</v>
      </c>
      <c r="AB143" s="263">
        <v>793.76505652144647</v>
      </c>
      <c r="AC143" s="252">
        <v>815.80113557359323</v>
      </c>
      <c r="AD143" s="252">
        <v>838.85252866890164</v>
      </c>
      <c r="AE143" s="252">
        <v>860.8886077210484</v>
      </c>
      <c r="AF143" s="252">
        <v>882.92468677319528</v>
      </c>
      <c r="AG143" s="252">
        <v>904.96076582534192</v>
      </c>
      <c r="AH143" s="263">
        <v>926.9968448774888</v>
      </c>
    </row>
    <row r="144" spans="1:34" s="184" customFormat="1" ht="15.45" x14ac:dyDescent="0.4">
      <c r="A144" s="271"/>
      <c r="B144" s="139">
        <v>1200</v>
      </c>
      <c r="C144" s="273">
        <v>251.50469180658573</v>
      </c>
      <c r="D144" s="252">
        <v>266.62673412693283</v>
      </c>
      <c r="E144" s="252">
        <v>289.30979760745356</v>
      </c>
      <c r="F144" s="252">
        <v>313.15321999444467</v>
      </c>
      <c r="G144" s="252">
        <v>335.83628347496528</v>
      </c>
      <c r="H144" s="252">
        <v>358.51934695548601</v>
      </c>
      <c r="I144" s="252">
        <v>381.20241043600669</v>
      </c>
      <c r="J144" s="252">
        <v>403.8854739165273</v>
      </c>
      <c r="K144" s="252">
        <v>426.56853739704803</v>
      </c>
      <c r="L144" s="252">
        <v>449.25160087756865</v>
      </c>
      <c r="M144" s="252">
        <v>471.93466435808938</v>
      </c>
      <c r="N144" s="252">
        <v>495.77808674508049</v>
      </c>
      <c r="O144" s="252">
        <v>518.46115022560116</v>
      </c>
      <c r="P144" s="253">
        <v>541.14421370612183</v>
      </c>
      <c r="Q144" s="253">
        <v>563.8272771866425</v>
      </c>
      <c r="R144" s="253">
        <v>586.51034066716318</v>
      </c>
      <c r="S144" s="253">
        <v>609.19340414768374</v>
      </c>
      <c r="T144" s="253">
        <v>631.87646762820441</v>
      </c>
      <c r="U144" s="253">
        <v>654.5595311087252</v>
      </c>
      <c r="V144" s="252">
        <v>678.40295349571625</v>
      </c>
      <c r="W144" s="252">
        <v>701.08601697623692</v>
      </c>
      <c r="X144" s="253">
        <v>723.76908045675759</v>
      </c>
      <c r="Y144" s="253">
        <v>746.45214393727827</v>
      </c>
      <c r="Z144" s="253">
        <v>769.13520741779905</v>
      </c>
      <c r="AA144" s="253">
        <v>791.8182708983195</v>
      </c>
      <c r="AB144" s="263">
        <v>814.50133437884028</v>
      </c>
      <c r="AC144" s="252">
        <v>837.18439785936096</v>
      </c>
      <c r="AD144" s="252">
        <v>861.02782024635201</v>
      </c>
      <c r="AE144" s="252">
        <v>883.71088372687257</v>
      </c>
      <c r="AF144" s="252">
        <v>906.39394720739347</v>
      </c>
      <c r="AG144" s="252">
        <v>929.07701068791391</v>
      </c>
      <c r="AH144" s="263">
        <v>951.76007416843493</v>
      </c>
    </row>
    <row r="145" spans="1:34" s="184" customFormat="1" ht="15.45" x14ac:dyDescent="0.4">
      <c r="A145" s="271"/>
      <c r="B145" s="139">
        <v>1350</v>
      </c>
      <c r="C145" s="273">
        <v>255.84688584083091</v>
      </c>
      <c r="D145" s="252">
        <v>271.40025111342726</v>
      </c>
      <c r="E145" s="252">
        <v>294.73029902232179</v>
      </c>
      <c r="F145" s="252">
        <v>319.36575070099553</v>
      </c>
      <c r="G145" s="252">
        <v>342.69579860989012</v>
      </c>
      <c r="H145" s="252">
        <v>366.02584651878465</v>
      </c>
      <c r="I145" s="252">
        <v>389.35589442767917</v>
      </c>
      <c r="J145" s="252">
        <v>412.6859423365737</v>
      </c>
      <c r="K145" s="252">
        <v>436.01599024546823</v>
      </c>
      <c r="L145" s="252">
        <v>459.34603815436282</v>
      </c>
      <c r="M145" s="252">
        <v>482.6760860632574</v>
      </c>
      <c r="N145" s="252">
        <v>507.31153774193109</v>
      </c>
      <c r="O145" s="252">
        <v>530.64158565082573</v>
      </c>
      <c r="P145" s="253">
        <v>553.97163355972043</v>
      </c>
      <c r="Q145" s="253">
        <v>577.3016814686149</v>
      </c>
      <c r="R145" s="253">
        <v>600.63172937750949</v>
      </c>
      <c r="S145" s="253">
        <v>623.96177728640396</v>
      </c>
      <c r="T145" s="253">
        <v>647.29182519529866</v>
      </c>
      <c r="U145" s="253">
        <v>670.62187310419301</v>
      </c>
      <c r="V145" s="252">
        <v>695.25732478286682</v>
      </c>
      <c r="W145" s="252">
        <v>718.58737269176129</v>
      </c>
      <c r="X145" s="253">
        <v>741.91742060065576</v>
      </c>
      <c r="Y145" s="253">
        <v>765.24746850955034</v>
      </c>
      <c r="Z145" s="253">
        <v>788.57751641844493</v>
      </c>
      <c r="AA145" s="253">
        <v>811.90756432733951</v>
      </c>
      <c r="AB145" s="263">
        <v>835.23761223623421</v>
      </c>
      <c r="AC145" s="252">
        <v>858.56766014512868</v>
      </c>
      <c r="AD145" s="252">
        <v>883.20311182380249</v>
      </c>
      <c r="AE145" s="252">
        <v>906.53315973269673</v>
      </c>
      <c r="AF145" s="252">
        <v>929.86320764159166</v>
      </c>
      <c r="AG145" s="252">
        <v>953.19325555048601</v>
      </c>
      <c r="AH145" s="263">
        <v>976.52330345938071</v>
      </c>
    </row>
    <row r="146" spans="1:34" s="184" customFormat="1" ht="15.45" x14ac:dyDescent="0.4">
      <c r="A146" s="271"/>
      <c r="B146" s="139">
        <v>1500</v>
      </c>
      <c r="C146" s="273">
        <v>260.18907987507595</v>
      </c>
      <c r="D146" s="252">
        <v>276.17376809992157</v>
      </c>
      <c r="E146" s="252">
        <v>300.15080043719007</v>
      </c>
      <c r="F146" s="252">
        <v>325.57828140754646</v>
      </c>
      <c r="G146" s="252">
        <v>349.5553137448149</v>
      </c>
      <c r="H146" s="252">
        <v>373.53234608208334</v>
      </c>
      <c r="I146" s="252">
        <v>397.50937841935172</v>
      </c>
      <c r="J146" s="252">
        <v>421.48641075662022</v>
      </c>
      <c r="K146" s="252">
        <v>445.46344309388854</v>
      </c>
      <c r="L146" s="252">
        <v>469.44047543115698</v>
      </c>
      <c r="M146" s="252">
        <v>493.41750776842542</v>
      </c>
      <c r="N146" s="252">
        <v>518.84498873878192</v>
      </c>
      <c r="O146" s="252">
        <v>542.82202107605042</v>
      </c>
      <c r="P146" s="253">
        <v>566.79905341331869</v>
      </c>
      <c r="Q146" s="253">
        <v>590.7760857505873</v>
      </c>
      <c r="R146" s="253">
        <v>614.75311808785568</v>
      </c>
      <c r="S146" s="253">
        <v>638.73015042512407</v>
      </c>
      <c r="T146" s="253">
        <v>662.70718276239256</v>
      </c>
      <c r="U146" s="253">
        <v>686.68421509966083</v>
      </c>
      <c r="V146" s="252">
        <v>712.11169607001727</v>
      </c>
      <c r="W146" s="252">
        <v>736.08872840728566</v>
      </c>
      <c r="X146" s="253">
        <v>760.06576074455415</v>
      </c>
      <c r="Y146" s="253">
        <v>784.04279308182254</v>
      </c>
      <c r="Z146" s="253">
        <v>808.01982541909103</v>
      </c>
      <c r="AA146" s="253">
        <v>831.9968577563593</v>
      </c>
      <c r="AB146" s="263">
        <v>855.9738900936278</v>
      </c>
      <c r="AC146" s="252">
        <v>879.9509224308963</v>
      </c>
      <c r="AD146" s="252">
        <v>905.37840340125274</v>
      </c>
      <c r="AE146" s="252">
        <v>929.35543573852101</v>
      </c>
      <c r="AF146" s="252">
        <v>953.33246807578962</v>
      </c>
      <c r="AG146" s="252">
        <v>977.30950041305812</v>
      </c>
      <c r="AH146" s="263">
        <v>1001.2865327503264</v>
      </c>
    </row>
    <row r="147" spans="1:34" s="184" customFormat="1" ht="15" customHeight="1" x14ac:dyDescent="0.4">
      <c r="A147" s="271"/>
      <c r="B147" s="139">
        <v>1650</v>
      </c>
      <c r="C147" s="273">
        <v>264.53127390932116</v>
      </c>
      <c r="D147" s="252">
        <v>280.947285086416</v>
      </c>
      <c r="E147" s="252">
        <v>305.5713018520583</v>
      </c>
      <c r="F147" s="252">
        <v>331.79081211409743</v>
      </c>
      <c r="G147" s="252">
        <v>356.41482887973967</v>
      </c>
      <c r="H147" s="252">
        <v>381.03884564538203</v>
      </c>
      <c r="I147" s="252">
        <v>405.66286241102432</v>
      </c>
      <c r="J147" s="252">
        <v>430.28687917666656</v>
      </c>
      <c r="K147" s="252">
        <v>454.91089594230891</v>
      </c>
      <c r="L147" s="252">
        <v>479.53491270795126</v>
      </c>
      <c r="M147" s="252">
        <v>504.15892947359345</v>
      </c>
      <c r="N147" s="252">
        <v>530.3784397356327</v>
      </c>
      <c r="O147" s="252">
        <v>555.00245650127511</v>
      </c>
      <c r="P147" s="253">
        <v>579.62647326691729</v>
      </c>
      <c r="Q147" s="253">
        <v>604.25049003255958</v>
      </c>
      <c r="R147" s="253">
        <v>628.87450679820199</v>
      </c>
      <c r="S147" s="253">
        <v>653.49852356384417</v>
      </c>
      <c r="T147" s="253">
        <v>678.12254032948658</v>
      </c>
      <c r="U147" s="253">
        <v>702.74655709512865</v>
      </c>
      <c r="V147" s="252">
        <v>728.96606735716796</v>
      </c>
      <c r="W147" s="252">
        <v>753.59008412281014</v>
      </c>
      <c r="X147" s="253">
        <v>778.21410088845244</v>
      </c>
      <c r="Y147" s="253">
        <v>802.83811765409473</v>
      </c>
      <c r="Z147" s="253">
        <v>827.46213441973725</v>
      </c>
      <c r="AA147" s="253">
        <v>852.08615118537955</v>
      </c>
      <c r="AB147" s="263">
        <v>876.71016795102173</v>
      </c>
      <c r="AC147" s="252">
        <v>901.33418471666403</v>
      </c>
      <c r="AD147" s="252">
        <v>927.55369497870311</v>
      </c>
      <c r="AE147" s="252">
        <v>952.17771174434552</v>
      </c>
      <c r="AF147" s="252">
        <v>976.80172850998781</v>
      </c>
      <c r="AG147" s="252">
        <v>1001.4257452756302</v>
      </c>
      <c r="AH147" s="263">
        <v>1026.0497620412723</v>
      </c>
    </row>
    <row r="148" spans="1:34" s="184" customFormat="1" ht="15" customHeight="1" x14ac:dyDescent="0.4">
      <c r="A148" s="271"/>
      <c r="B148" s="139">
        <v>1800</v>
      </c>
      <c r="C148" s="273">
        <v>268.87346794356625</v>
      </c>
      <c r="D148" s="252">
        <v>285.72080207291026</v>
      </c>
      <c r="E148" s="252">
        <v>310.99180326692652</v>
      </c>
      <c r="F148" s="252">
        <v>338.00334282064824</v>
      </c>
      <c r="G148" s="252">
        <v>363.27434401466445</v>
      </c>
      <c r="H148" s="252">
        <v>388.54534520868066</v>
      </c>
      <c r="I148" s="252">
        <v>413.81634640269692</v>
      </c>
      <c r="J148" s="252">
        <v>439.08734759671307</v>
      </c>
      <c r="K148" s="252">
        <v>464.35834879072922</v>
      </c>
      <c r="L148" s="252">
        <v>489.62934998474543</v>
      </c>
      <c r="M148" s="252">
        <v>514.90035117876164</v>
      </c>
      <c r="N148" s="252">
        <v>541.91189073248347</v>
      </c>
      <c r="O148" s="252">
        <v>567.18289192649956</v>
      </c>
      <c r="P148" s="253">
        <v>592.45389312051566</v>
      </c>
      <c r="Q148" s="253">
        <v>617.72489431453209</v>
      </c>
      <c r="R148" s="253">
        <v>642.99589550854819</v>
      </c>
      <c r="S148" s="253">
        <v>668.26689670256428</v>
      </c>
      <c r="T148" s="253">
        <v>693.53789789658049</v>
      </c>
      <c r="U148" s="253">
        <v>718.80889909059681</v>
      </c>
      <c r="V148" s="252">
        <v>745.82043864431841</v>
      </c>
      <c r="W148" s="252">
        <v>771.09143983833462</v>
      </c>
      <c r="X148" s="253">
        <v>796.36244103235083</v>
      </c>
      <c r="Y148" s="253">
        <v>821.63344222636704</v>
      </c>
      <c r="Z148" s="253">
        <v>846.90444342038302</v>
      </c>
      <c r="AA148" s="253">
        <v>872.17544461439945</v>
      </c>
      <c r="AB148" s="263">
        <v>897.44644580841566</v>
      </c>
      <c r="AC148" s="252">
        <v>922.71744700243175</v>
      </c>
      <c r="AD148" s="252">
        <v>949.72898655615336</v>
      </c>
      <c r="AE148" s="252">
        <v>974.99998775016957</v>
      </c>
      <c r="AF148" s="252">
        <v>1000.270988944186</v>
      </c>
      <c r="AG148" s="252">
        <v>1025.541990138202</v>
      </c>
      <c r="AH148" s="263">
        <v>1050.8129913322182</v>
      </c>
    </row>
    <row r="149" spans="1:34" s="184" customFormat="1" ht="15" customHeight="1" x14ac:dyDescent="0.4">
      <c r="A149" s="271"/>
      <c r="B149" s="139">
        <v>1950</v>
      </c>
      <c r="C149" s="273">
        <v>273.21566197781129</v>
      </c>
      <c r="D149" s="252">
        <v>290.49431905940475</v>
      </c>
      <c r="E149" s="252">
        <v>316.41230468179475</v>
      </c>
      <c r="F149" s="252">
        <v>344.21587352719922</v>
      </c>
      <c r="G149" s="252">
        <v>370.13385914958928</v>
      </c>
      <c r="H149" s="252">
        <v>396.05184477197929</v>
      </c>
      <c r="I149" s="252">
        <v>421.96983039436941</v>
      </c>
      <c r="J149" s="252">
        <v>447.88781601675942</v>
      </c>
      <c r="K149" s="252">
        <v>473.80580163914954</v>
      </c>
      <c r="L149" s="252">
        <v>499.72378726153954</v>
      </c>
      <c r="M149" s="252">
        <v>525.64177288392966</v>
      </c>
      <c r="N149" s="252">
        <v>553.44534172933402</v>
      </c>
      <c r="O149" s="252">
        <v>579.36332735172425</v>
      </c>
      <c r="P149" s="253">
        <v>605.28131297411426</v>
      </c>
      <c r="Q149" s="253">
        <v>631.19929859650438</v>
      </c>
      <c r="R149" s="253">
        <v>657.11728421889438</v>
      </c>
      <c r="S149" s="253">
        <v>683.0352698412845</v>
      </c>
      <c r="T149" s="253">
        <v>708.95325546367451</v>
      </c>
      <c r="U149" s="253">
        <v>734.87124108606474</v>
      </c>
      <c r="V149" s="252">
        <v>762.6748099314691</v>
      </c>
      <c r="W149" s="252">
        <v>788.59279555385899</v>
      </c>
      <c r="X149" s="253">
        <v>814.51078117624922</v>
      </c>
      <c r="Y149" s="253">
        <v>840.428766798639</v>
      </c>
      <c r="Z149" s="253">
        <v>866.34675242102924</v>
      </c>
      <c r="AA149" s="253">
        <v>892.26473804341924</v>
      </c>
      <c r="AB149" s="263">
        <v>918.18272366580948</v>
      </c>
      <c r="AC149" s="252">
        <v>944.10070928819971</v>
      </c>
      <c r="AD149" s="252">
        <v>971.90427813360395</v>
      </c>
      <c r="AE149" s="252">
        <v>997.82226375599384</v>
      </c>
      <c r="AF149" s="252">
        <v>1023.7402493783841</v>
      </c>
      <c r="AG149" s="252">
        <v>1049.6582350007741</v>
      </c>
      <c r="AH149" s="263">
        <v>1075.5762206231639</v>
      </c>
    </row>
    <row r="150" spans="1:34" s="184" customFormat="1" ht="15" customHeight="1" x14ac:dyDescent="0.4">
      <c r="A150" s="271"/>
      <c r="B150" s="139">
        <v>2100</v>
      </c>
      <c r="C150" s="273">
        <v>277.5578560120565</v>
      </c>
      <c r="D150" s="252">
        <v>295.26783604589912</v>
      </c>
      <c r="E150" s="252">
        <v>321.83280609666303</v>
      </c>
      <c r="F150" s="252">
        <v>350.4284042337502</v>
      </c>
      <c r="G150" s="252">
        <v>376.99337428451395</v>
      </c>
      <c r="H150" s="252">
        <v>403.55834433527804</v>
      </c>
      <c r="I150" s="252">
        <v>430.1233143860419</v>
      </c>
      <c r="J150" s="252">
        <v>456.68828443680587</v>
      </c>
      <c r="K150" s="252">
        <v>483.25325448756985</v>
      </c>
      <c r="L150" s="252">
        <v>509.81822453833382</v>
      </c>
      <c r="M150" s="252">
        <v>536.38319458909757</v>
      </c>
      <c r="N150" s="252">
        <v>564.97879272618479</v>
      </c>
      <c r="O150" s="252">
        <v>591.54376277694882</v>
      </c>
      <c r="P150" s="253">
        <v>618.10873282771274</v>
      </c>
      <c r="Q150" s="253">
        <v>644.67370287847689</v>
      </c>
      <c r="R150" s="253">
        <v>671.23867292924069</v>
      </c>
      <c r="S150" s="253">
        <v>697.80364298000461</v>
      </c>
      <c r="T150" s="253">
        <v>724.36861303076842</v>
      </c>
      <c r="U150" s="253">
        <v>750.93358308153256</v>
      </c>
      <c r="V150" s="252">
        <v>779.52918121861956</v>
      </c>
      <c r="W150" s="252">
        <v>806.09415126938347</v>
      </c>
      <c r="X150" s="253">
        <v>832.65912132014739</v>
      </c>
      <c r="Y150" s="253">
        <v>859.22409137091154</v>
      </c>
      <c r="Z150" s="253">
        <v>885.78906142167546</v>
      </c>
      <c r="AA150" s="253">
        <v>912.35403147243937</v>
      </c>
      <c r="AB150" s="263">
        <v>938.91900152320329</v>
      </c>
      <c r="AC150" s="252">
        <v>965.48397157396721</v>
      </c>
      <c r="AD150" s="252">
        <v>994.07956971105421</v>
      </c>
      <c r="AE150" s="252">
        <v>1020.6445397618185</v>
      </c>
      <c r="AF150" s="252">
        <v>1047.2095098125822</v>
      </c>
      <c r="AG150" s="252">
        <v>1073.774479863346</v>
      </c>
      <c r="AH150" s="263">
        <v>1100.33944991411</v>
      </c>
    </row>
    <row r="151" spans="1:34" s="184" customFormat="1" ht="15" customHeight="1" x14ac:dyDescent="0.4">
      <c r="A151" s="271"/>
      <c r="B151" s="139">
        <v>2250</v>
      </c>
      <c r="C151" s="273">
        <v>281.9000500463016</v>
      </c>
      <c r="D151" s="252">
        <v>300.04135303239332</v>
      </c>
      <c r="E151" s="252">
        <v>327.25330751153126</v>
      </c>
      <c r="F151" s="252">
        <v>356.64093494030107</v>
      </c>
      <c r="G151" s="252">
        <v>383.85288941943884</v>
      </c>
      <c r="H151" s="252">
        <v>411.06484389857673</v>
      </c>
      <c r="I151" s="252">
        <v>438.27679837771444</v>
      </c>
      <c r="J151" s="252">
        <v>465.48875285685233</v>
      </c>
      <c r="K151" s="252">
        <v>492.70070733599005</v>
      </c>
      <c r="L151" s="252">
        <v>519.91266181512788</v>
      </c>
      <c r="M151" s="252">
        <v>547.12461629426593</v>
      </c>
      <c r="N151" s="252">
        <v>576.51224372303557</v>
      </c>
      <c r="O151" s="252">
        <v>603.72419820217351</v>
      </c>
      <c r="P151" s="253">
        <v>630.93615268131123</v>
      </c>
      <c r="Q151" s="253">
        <v>658.14810716044917</v>
      </c>
      <c r="R151" s="253">
        <v>685.360061639587</v>
      </c>
      <c r="S151" s="253">
        <v>712.57201611872483</v>
      </c>
      <c r="T151" s="253">
        <v>739.78397059786255</v>
      </c>
      <c r="U151" s="253">
        <v>766.99592507700038</v>
      </c>
      <c r="V151" s="252">
        <v>796.38355250577013</v>
      </c>
      <c r="W151" s="252">
        <v>823.59550698490796</v>
      </c>
      <c r="X151" s="253">
        <v>850.80746146404579</v>
      </c>
      <c r="Y151" s="253">
        <v>878.0194159431835</v>
      </c>
      <c r="Z151" s="253">
        <v>905.23137042232133</v>
      </c>
      <c r="AA151" s="253">
        <v>932.44332490145939</v>
      </c>
      <c r="AB151" s="263">
        <v>959.65527938059711</v>
      </c>
      <c r="AC151" s="252">
        <v>986.86723385973482</v>
      </c>
      <c r="AD151" s="252">
        <v>1016.2548612885046</v>
      </c>
      <c r="AE151" s="252">
        <v>1043.4668157676422</v>
      </c>
      <c r="AF151" s="252">
        <v>1070.6787702467805</v>
      </c>
      <c r="AG151" s="252">
        <v>1097.8907247259178</v>
      </c>
      <c r="AH151" s="263">
        <v>1125.1026792050559</v>
      </c>
    </row>
    <row r="152" spans="1:34" s="184" customFormat="1" ht="15" customHeight="1" x14ac:dyDescent="0.4">
      <c r="A152" s="271"/>
      <c r="B152" s="139">
        <v>2400</v>
      </c>
      <c r="C152" s="273">
        <v>286.24224408054664</v>
      </c>
      <c r="D152" s="252">
        <v>304.81487001888786</v>
      </c>
      <c r="E152" s="252">
        <v>332.67380892639949</v>
      </c>
      <c r="F152" s="252">
        <v>362.85346564685199</v>
      </c>
      <c r="G152" s="252">
        <v>390.71240455436373</v>
      </c>
      <c r="H152" s="252">
        <v>418.57134346187536</v>
      </c>
      <c r="I152" s="252">
        <v>446.43028236938704</v>
      </c>
      <c r="J152" s="252">
        <v>474.28922127689873</v>
      </c>
      <c r="K152" s="252">
        <v>502.14816018441053</v>
      </c>
      <c r="L152" s="252">
        <v>530.0070990919221</v>
      </c>
      <c r="M152" s="252">
        <v>557.86603799943396</v>
      </c>
      <c r="N152" s="252">
        <v>588.04569471988634</v>
      </c>
      <c r="O152" s="252">
        <v>615.9046336273982</v>
      </c>
      <c r="P152" s="253">
        <v>643.76357253490983</v>
      </c>
      <c r="Q152" s="253">
        <v>671.62251144242134</v>
      </c>
      <c r="R152" s="253">
        <v>699.48145034993308</v>
      </c>
      <c r="S152" s="253">
        <v>727.34038925744483</v>
      </c>
      <c r="T152" s="253">
        <v>755.19932816495657</v>
      </c>
      <c r="U152" s="253">
        <v>783.05826707246808</v>
      </c>
      <c r="V152" s="252">
        <v>813.23792379292058</v>
      </c>
      <c r="W152" s="252">
        <v>841.09686270043244</v>
      </c>
      <c r="X152" s="253">
        <v>868.95580160794407</v>
      </c>
      <c r="Y152" s="253">
        <v>896.81474051545592</v>
      </c>
      <c r="Z152" s="253">
        <v>924.67367942296744</v>
      </c>
      <c r="AA152" s="253">
        <v>952.53261833047941</v>
      </c>
      <c r="AB152" s="263">
        <v>980.39155723799092</v>
      </c>
      <c r="AC152" s="252">
        <v>1008.2504961455024</v>
      </c>
      <c r="AD152" s="252">
        <v>1038.4301528659551</v>
      </c>
      <c r="AE152" s="252">
        <v>1066.2890917734667</v>
      </c>
      <c r="AF152" s="252">
        <v>1094.1480306809785</v>
      </c>
      <c r="AG152" s="252">
        <v>1122.0069695884902</v>
      </c>
      <c r="AH152" s="263">
        <v>1149.8659084960018</v>
      </c>
    </row>
    <row r="153" spans="1:34" s="184" customFormat="1" ht="15" customHeight="1" x14ac:dyDescent="0.4">
      <c r="A153" s="271"/>
      <c r="B153" s="139">
        <v>2550</v>
      </c>
      <c r="C153" s="273">
        <v>290.58443811479174</v>
      </c>
      <c r="D153" s="252">
        <v>309.58838700538217</v>
      </c>
      <c r="E153" s="252">
        <v>338.09431034126783</v>
      </c>
      <c r="F153" s="252">
        <v>369.06599635340291</v>
      </c>
      <c r="G153" s="252">
        <v>397.57191968928845</v>
      </c>
      <c r="H153" s="252">
        <v>426.07784302517405</v>
      </c>
      <c r="I153" s="252">
        <v>454.5837663610597</v>
      </c>
      <c r="J153" s="252">
        <v>483.08968969694519</v>
      </c>
      <c r="K153" s="252">
        <v>511.59561303283078</v>
      </c>
      <c r="L153" s="252">
        <v>540.10153636871644</v>
      </c>
      <c r="M153" s="252">
        <v>568.60745970460187</v>
      </c>
      <c r="N153" s="252">
        <v>599.579145716737</v>
      </c>
      <c r="O153" s="252">
        <v>628.08506905262266</v>
      </c>
      <c r="P153" s="253">
        <v>656.59099238850843</v>
      </c>
      <c r="Q153" s="253">
        <v>685.09691572439374</v>
      </c>
      <c r="R153" s="253">
        <v>713.60283906027939</v>
      </c>
      <c r="S153" s="253">
        <v>742.10876239616493</v>
      </c>
      <c r="T153" s="253">
        <v>770.61468573205059</v>
      </c>
      <c r="U153" s="253">
        <v>799.12060906793602</v>
      </c>
      <c r="V153" s="252">
        <v>830.09229508007138</v>
      </c>
      <c r="W153" s="252">
        <v>858.59821841595692</v>
      </c>
      <c r="X153" s="253">
        <v>887.10414175184235</v>
      </c>
      <c r="Y153" s="253">
        <v>915.61006508772778</v>
      </c>
      <c r="Z153" s="253">
        <v>944.11598842361354</v>
      </c>
      <c r="AA153" s="253">
        <v>972.6219117594992</v>
      </c>
      <c r="AB153" s="263">
        <v>1001.1278350953847</v>
      </c>
      <c r="AC153" s="252">
        <v>1029.6337584312703</v>
      </c>
      <c r="AD153" s="252">
        <v>1060.6054444434053</v>
      </c>
      <c r="AE153" s="252">
        <v>1089.111367779291</v>
      </c>
      <c r="AF153" s="252">
        <v>1117.6172911151766</v>
      </c>
      <c r="AG153" s="252">
        <v>1146.123214451062</v>
      </c>
      <c r="AH153" s="263">
        <v>1174.6291377869477</v>
      </c>
    </row>
    <row r="154" spans="1:34" s="184" customFormat="1" ht="15" customHeight="1" x14ac:dyDescent="0.4">
      <c r="A154" s="271"/>
      <c r="B154" s="139">
        <v>2700</v>
      </c>
      <c r="C154" s="273">
        <v>294.92663214903695</v>
      </c>
      <c r="D154" s="252">
        <v>314.36190399187655</v>
      </c>
      <c r="E154" s="252">
        <v>343.51481175613594</v>
      </c>
      <c r="F154" s="252">
        <v>375.27852705995383</v>
      </c>
      <c r="G154" s="252">
        <v>404.43143482421334</v>
      </c>
      <c r="H154" s="252">
        <v>433.58434258847279</v>
      </c>
      <c r="I154" s="252">
        <v>462.73725035273213</v>
      </c>
      <c r="J154" s="252">
        <v>491.89015811699159</v>
      </c>
      <c r="K154" s="252">
        <v>521.04306588125098</v>
      </c>
      <c r="L154" s="252">
        <v>550.19597364551043</v>
      </c>
      <c r="M154" s="252">
        <v>579.34888140977</v>
      </c>
      <c r="N154" s="252">
        <v>611.112596713588</v>
      </c>
      <c r="O154" s="252">
        <v>640.26550447784723</v>
      </c>
      <c r="P154" s="253">
        <v>669.4184122421068</v>
      </c>
      <c r="Q154" s="253">
        <v>698.57132000636625</v>
      </c>
      <c r="R154" s="253">
        <v>727.72422777062559</v>
      </c>
      <c r="S154" s="253">
        <v>756.87713553488504</v>
      </c>
      <c r="T154" s="253">
        <v>786.03004329914449</v>
      </c>
      <c r="U154" s="253">
        <v>815.18295106340406</v>
      </c>
      <c r="V154" s="252">
        <v>846.94666636722184</v>
      </c>
      <c r="W154" s="252">
        <v>876.09957413148118</v>
      </c>
      <c r="X154" s="253">
        <v>905.25248189574074</v>
      </c>
      <c r="Y154" s="253">
        <v>934.4053896600002</v>
      </c>
      <c r="Z154" s="253">
        <v>963.55829742425976</v>
      </c>
      <c r="AA154" s="253">
        <v>992.71120518851922</v>
      </c>
      <c r="AB154" s="263">
        <v>1021.8641129527786</v>
      </c>
      <c r="AC154" s="252">
        <v>1051.0170207170377</v>
      </c>
      <c r="AD154" s="252">
        <v>1082.780736020856</v>
      </c>
      <c r="AE154" s="252">
        <v>1111.9336437851152</v>
      </c>
      <c r="AF154" s="252">
        <v>1141.0865515493747</v>
      </c>
      <c r="AG154" s="252">
        <v>1170.2394593136344</v>
      </c>
      <c r="AH154" s="263">
        <v>1199.3923670778936</v>
      </c>
    </row>
    <row r="155" spans="1:34" s="184" customFormat="1" ht="15" customHeight="1" x14ac:dyDescent="0.4">
      <c r="A155" s="271"/>
      <c r="B155" s="139">
        <v>2850</v>
      </c>
      <c r="C155" s="273">
        <v>299.26882618328204</v>
      </c>
      <c r="D155" s="252">
        <v>319.13542097837092</v>
      </c>
      <c r="E155" s="252">
        <v>348.93531317100422</v>
      </c>
      <c r="F155" s="252">
        <v>381.4910577665047</v>
      </c>
      <c r="G155" s="252">
        <v>411.29094995913806</v>
      </c>
      <c r="H155" s="252">
        <v>441.09084215177143</v>
      </c>
      <c r="I155" s="252">
        <v>470.89073434440473</v>
      </c>
      <c r="J155" s="252">
        <v>500.69062653703804</v>
      </c>
      <c r="K155" s="252">
        <v>530.49051872967141</v>
      </c>
      <c r="L155" s="252">
        <v>560.29041092230466</v>
      </c>
      <c r="M155" s="252">
        <v>590.09030311493802</v>
      </c>
      <c r="N155" s="252">
        <v>622.64604771043855</v>
      </c>
      <c r="O155" s="252">
        <v>652.4459399030718</v>
      </c>
      <c r="P155" s="253">
        <v>682.24583209570528</v>
      </c>
      <c r="Q155" s="253">
        <v>712.04572428833831</v>
      </c>
      <c r="R155" s="253">
        <v>741.8456164809719</v>
      </c>
      <c r="S155" s="253">
        <v>771.64550867360504</v>
      </c>
      <c r="T155" s="253">
        <v>801.44540086623863</v>
      </c>
      <c r="U155" s="253">
        <v>831.24529305887177</v>
      </c>
      <c r="V155" s="252">
        <v>863.80103765437229</v>
      </c>
      <c r="W155" s="252">
        <v>893.60092984700566</v>
      </c>
      <c r="X155" s="253">
        <v>923.40082203963925</v>
      </c>
      <c r="Y155" s="253">
        <v>953.2007142322725</v>
      </c>
      <c r="Z155" s="253">
        <v>983.00060642490587</v>
      </c>
      <c r="AA155" s="253">
        <v>1012.8004986175388</v>
      </c>
      <c r="AB155" s="263">
        <v>1042.6003908101723</v>
      </c>
      <c r="AC155" s="252">
        <v>1072.4002830028053</v>
      </c>
      <c r="AD155" s="252">
        <v>1104.9560275983063</v>
      </c>
      <c r="AE155" s="252">
        <v>1134.7559197909397</v>
      </c>
      <c r="AF155" s="252">
        <v>1164.555811983573</v>
      </c>
      <c r="AG155" s="252">
        <v>1194.355704176206</v>
      </c>
      <c r="AH155" s="263">
        <v>1224.1555963688395</v>
      </c>
    </row>
    <row r="156" spans="1:34" s="184" customFormat="1" ht="15" customHeight="1" thickBot="1" x14ac:dyDescent="0.45">
      <c r="A156" s="271"/>
      <c r="B156" s="140">
        <v>3000</v>
      </c>
      <c r="C156" s="274">
        <v>303.61102021752714</v>
      </c>
      <c r="D156" s="255">
        <v>323.90893796486529</v>
      </c>
      <c r="E156" s="255">
        <v>354.35581458587239</v>
      </c>
      <c r="F156" s="255">
        <v>387.70358847305562</v>
      </c>
      <c r="G156" s="255">
        <v>418.15046509406278</v>
      </c>
      <c r="H156" s="255">
        <v>448.59734171507</v>
      </c>
      <c r="I156" s="255">
        <v>479.04421833607728</v>
      </c>
      <c r="J156" s="255">
        <v>509.49109495708433</v>
      </c>
      <c r="K156" s="255">
        <v>539.93797157809161</v>
      </c>
      <c r="L156" s="255">
        <v>570.384848199099</v>
      </c>
      <c r="M156" s="255">
        <v>600.83172482010616</v>
      </c>
      <c r="N156" s="255">
        <v>634.17949870728933</v>
      </c>
      <c r="O156" s="255">
        <v>664.62637532829649</v>
      </c>
      <c r="P156" s="256">
        <v>695.07325194930354</v>
      </c>
      <c r="Q156" s="256">
        <v>725.52012857031104</v>
      </c>
      <c r="R156" s="256">
        <v>755.96700519131821</v>
      </c>
      <c r="S156" s="256">
        <v>786.41388181232526</v>
      </c>
      <c r="T156" s="256">
        <v>816.86075843333265</v>
      </c>
      <c r="U156" s="256">
        <v>847.30763505433993</v>
      </c>
      <c r="V156" s="255">
        <v>880.65540894152309</v>
      </c>
      <c r="W156" s="255">
        <v>911.10228556253003</v>
      </c>
      <c r="X156" s="256">
        <v>941.54916218353719</v>
      </c>
      <c r="Y156" s="256">
        <v>971.99603880454436</v>
      </c>
      <c r="Z156" s="256">
        <v>1002.4429154255519</v>
      </c>
      <c r="AA156" s="256">
        <v>1032.8897920465588</v>
      </c>
      <c r="AB156" s="265">
        <v>1063.3366686675661</v>
      </c>
      <c r="AC156" s="255">
        <v>1093.7835452885734</v>
      </c>
      <c r="AD156" s="255">
        <v>1127.1313191757565</v>
      </c>
      <c r="AE156" s="255">
        <v>1157.578195796764</v>
      </c>
      <c r="AF156" s="255">
        <v>1188.0250724177708</v>
      </c>
      <c r="AG156" s="255">
        <v>1218.4719490387783</v>
      </c>
      <c r="AH156" s="265">
        <v>1248.9188256597852</v>
      </c>
    </row>
    <row r="157" spans="1:34" s="184" customFormat="1" x14ac:dyDescent="0.4"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</row>
    <row r="158" spans="1:34" s="160" customFormat="1" ht="45.9" thickBot="1" x14ac:dyDescent="1.1000000000000001">
      <c r="A158" s="269"/>
      <c r="B158" s="161" t="s">
        <v>45</v>
      </c>
      <c r="C158" s="161"/>
      <c r="D158" s="129"/>
      <c r="E158" s="129"/>
      <c r="F158" s="129"/>
      <c r="G158" s="129"/>
      <c r="H158" s="98"/>
      <c r="I158" s="130"/>
      <c r="J158" s="130"/>
      <c r="K158" s="130"/>
      <c r="L158" s="129"/>
      <c r="M158" s="129"/>
      <c r="N158" s="172"/>
      <c r="O158" s="177"/>
      <c r="P158" s="129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78"/>
      <c r="AB158" s="143"/>
      <c r="AC158" s="143"/>
      <c r="AD158" s="143"/>
      <c r="AE158" s="143"/>
      <c r="AF158" s="143"/>
      <c r="AG158" s="143"/>
      <c r="AH158" s="143"/>
    </row>
    <row r="159" spans="1:34" s="184" customFormat="1" ht="15.9" thickBot="1" x14ac:dyDescent="0.45">
      <c r="A159" s="271"/>
      <c r="B159" s="134"/>
      <c r="C159" s="181">
        <v>800</v>
      </c>
      <c r="D159" s="136">
        <v>900</v>
      </c>
      <c r="E159" s="136">
        <v>1050</v>
      </c>
      <c r="F159" s="135">
        <v>1200</v>
      </c>
      <c r="G159" s="136">
        <v>1350</v>
      </c>
      <c r="H159" s="135">
        <v>1500</v>
      </c>
      <c r="I159" s="136">
        <v>1650</v>
      </c>
      <c r="J159" s="135">
        <v>1800</v>
      </c>
      <c r="K159" s="136">
        <v>1950</v>
      </c>
      <c r="L159" s="135">
        <v>2100</v>
      </c>
      <c r="M159" s="136">
        <v>2250</v>
      </c>
      <c r="N159" s="135">
        <v>2400</v>
      </c>
      <c r="O159" s="136">
        <v>2550</v>
      </c>
      <c r="P159" s="135">
        <v>2700</v>
      </c>
      <c r="Q159" s="136">
        <v>2850</v>
      </c>
      <c r="R159" s="135">
        <v>3000</v>
      </c>
      <c r="S159" s="136">
        <v>3150</v>
      </c>
      <c r="T159" s="135">
        <v>3300</v>
      </c>
      <c r="U159" s="136">
        <v>3450</v>
      </c>
      <c r="V159" s="135">
        <v>3600</v>
      </c>
      <c r="W159" s="136">
        <v>3750</v>
      </c>
      <c r="X159" s="135">
        <v>3900</v>
      </c>
      <c r="Y159" s="136">
        <v>4050</v>
      </c>
      <c r="Z159" s="135">
        <v>4200</v>
      </c>
      <c r="AA159" s="136">
        <v>4350</v>
      </c>
      <c r="AB159" s="167">
        <v>4500</v>
      </c>
      <c r="AC159" s="135">
        <v>4650</v>
      </c>
      <c r="AD159" s="136">
        <v>4800</v>
      </c>
      <c r="AE159" s="136">
        <v>4950</v>
      </c>
      <c r="AF159" s="135">
        <v>5100</v>
      </c>
      <c r="AG159" s="136">
        <v>5250</v>
      </c>
      <c r="AH159" s="137">
        <v>5400</v>
      </c>
    </row>
    <row r="160" spans="1:34" s="184" customFormat="1" ht="15.45" x14ac:dyDescent="0.4">
      <c r="A160" s="271"/>
      <c r="B160" s="138">
        <v>900</v>
      </c>
      <c r="C160" s="272">
        <v>192.25271140099454</v>
      </c>
      <c r="D160" s="249">
        <v>203.61624683064312</v>
      </c>
      <c r="E160" s="249">
        <v>220.66154997511603</v>
      </c>
      <c r="F160" s="249">
        <v>238.57712229944175</v>
      </c>
      <c r="G160" s="249">
        <v>255.62242544391464</v>
      </c>
      <c r="H160" s="249">
        <v>272.6677285883876</v>
      </c>
      <c r="I160" s="249">
        <v>289.71303173286054</v>
      </c>
      <c r="J160" s="249">
        <v>306.75833487733343</v>
      </c>
      <c r="K160" s="249">
        <v>323.80363802180631</v>
      </c>
      <c r="L160" s="249">
        <v>340.8489411662793</v>
      </c>
      <c r="M160" s="249">
        <v>357.89424431075224</v>
      </c>
      <c r="N160" s="249">
        <v>375.80981663507799</v>
      </c>
      <c r="O160" s="249">
        <v>392.85511977955082</v>
      </c>
      <c r="P160" s="250">
        <v>409.9004229240237</v>
      </c>
      <c r="Q160" s="250">
        <v>426.9457260684967</v>
      </c>
      <c r="R160" s="250">
        <v>443.99102921296958</v>
      </c>
      <c r="S160" s="250">
        <v>461.03633235744246</v>
      </c>
      <c r="T160" s="250">
        <v>478.08163550191546</v>
      </c>
      <c r="U160" s="250">
        <v>495.12693864638834</v>
      </c>
      <c r="V160" s="249">
        <v>513.04251097071415</v>
      </c>
      <c r="W160" s="249">
        <v>530.08781411518692</v>
      </c>
      <c r="X160" s="250">
        <v>547.1331172596598</v>
      </c>
      <c r="Y160" s="250">
        <v>564.17842040413279</v>
      </c>
      <c r="Z160" s="250">
        <v>581.22372354860579</v>
      </c>
      <c r="AA160" s="250">
        <v>598.26902669307867</v>
      </c>
      <c r="AB160" s="258">
        <v>615.31432983755155</v>
      </c>
      <c r="AC160" s="249">
        <v>632.35963298202444</v>
      </c>
      <c r="AD160" s="249">
        <v>650.27520530635013</v>
      </c>
      <c r="AE160" s="249">
        <v>667.32050845082324</v>
      </c>
      <c r="AF160" s="249">
        <v>684.36581159529601</v>
      </c>
      <c r="AG160" s="249">
        <v>701.41111473976889</v>
      </c>
      <c r="AH160" s="258">
        <v>718.45641788424177</v>
      </c>
    </row>
    <row r="161" spans="1:34" s="184" customFormat="1" ht="15.45" x14ac:dyDescent="0.4">
      <c r="A161" s="271"/>
      <c r="B161" s="139">
        <v>1050</v>
      </c>
      <c r="C161" s="273">
        <v>197.97641998615615</v>
      </c>
      <c r="D161" s="252">
        <v>209.77127836805397</v>
      </c>
      <c r="E161" s="252">
        <v>227.46356594090076</v>
      </c>
      <c r="F161" s="252">
        <v>246.17116755690918</v>
      </c>
      <c r="G161" s="252">
        <v>263.86345512975601</v>
      </c>
      <c r="H161" s="252">
        <v>281.55574270260274</v>
      </c>
      <c r="I161" s="252">
        <v>299.24803027544959</v>
      </c>
      <c r="J161" s="252">
        <v>316.94031784829639</v>
      </c>
      <c r="K161" s="252">
        <v>334.63260542114318</v>
      </c>
      <c r="L161" s="252">
        <v>352.32489299399003</v>
      </c>
      <c r="M161" s="252">
        <v>370.01718056683683</v>
      </c>
      <c r="N161" s="252">
        <v>388.72478218284516</v>
      </c>
      <c r="O161" s="252">
        <v>406.41706975569195</v>
      </c>
      <c r="P161" s="253">
        <v>424.10935732853875</v>
      </c>
      <c r="Q161" s="253">
        <v>441.80164490138549</v>
      </c>
      <c r="R161" s="253">
        <v>459.49393247423234</v>
      </c>
      <c r="S161" s="253">
        <v>477.18622004707908</v>
      </c>
      <c r="T161" s="253">
        <v>494.87850761992593</v>
      </c>
      <c r="U161" s="253">
        <v>512.57079519277272</v>
      </c>
      <c r="V161" s="252">
        <v>531.27839680878094</v>
      </c>
      <c r="W161" s="252">
        <v>548.97068438162785</v>
      </c>
      <c r="X161" s="253">
        <v>566.66297195447476</v>
      </c>
      <c r="Y161" s="253">
        <v>584.35525952732144</v>
      </c>
      <c r="Z161" s="253">
        <v>602.04754710016823</v>
      </c>
      <c r="AA161" s="253">
        <v>619.73983467301514</v>
      </c>
      <c r="AB161" s="263">
        <v>637.43212224586171</v>
      </c>
      <c r="AC161" s="252">
        <v>655.12440981870861</v>
      </c>
      <c r="AD161" s="252">
        <v>673.83201143471695</v>
      </c>
      <c r="AE161" s="252">
        <v>691.52429900756374</v>
      </c>
      <c r="AF161" s="252">
        <v>709.21658658041076</v>
      </c>
      <c r="AG161" s="252">
        <v>726.90887415325744</v>
      </c>
      <c r="AH161" s="263">
        <v>744.60116172610424</v>
      </c>
    </row>
    <row r="162" spans="1:34" s="184" customFormat="1" ht="15.45" x14ac:dyDescent="0.4">
      <c r="A162" s="271"/>
      <c r="B162" s="139">
        <v>1200</v>
      </c>
      <c r="C162" s="273">
        <v>203.70012857131775</v>
      </c>
      <c r="D162" s="252">
        <v>215.92630990546488</v>
      </c>
      <c r="E162" s="252">
        <v>234.26558190668555</v>
      </c>
      <c r="F162" s="252">
        <v>253.76521281437664</v>
      </c>
      <c r="G162" s="252">
        <v>272.10448481559723</v>
      </c>
      <c r="H162" s="252">
        <v>290.443756816818</v>
      </c>
      <c r="I162" s="252">
        <v>308.78302881803864</v>
      </c>
      <c r="J162" s="252">
        <v>327.12230081925935</v>
      </c>
      <c r="K162" s="252">
        <v>345.46157282047994</v>
      </c>
      <c r="L162" s="252">
        <v>363.80084482170065</v>
      </c>
      <c r="M162" s="252">
        <v>382.14011682292124</v>
      </c>
      <c r="N162" s="252">
        <v>401.63974773061238</v>
      </c>
      <c r="O162" s="252">
        <v>419.97901973183298</v>
      </c>
      <c r="P162" s="253">
        <v>438.31829173305374</v>
      </c>
      <c r="Q162" s="253">
        <v>456.65756373427439</v>
      </c>
      <c r="R162" s="253">
        <v>474.99683573549504</v>
      </c>
      <c r="S162" s="253">
        <v>493.33610773671563</v>
      </c>
      <c r="T162" s="253">
        <v>511.6753797379364</v>
      </c>
      <c r="U162" s="253">
        <v>530.01465173915699</v>
      </c>
      <c r="V162" s="252">
        <v>549.51428264684819</v>
      </c>
      <c r="W162" s="252">
        <v>567.85355464806867</v>
      </c>
      <c r="X162" s="253">
        <v>586.19282664928949</v>
      </c>
      <c r="Y162" s="253">
        <v>604.53209865051008</v>
      </c>
      <c r="Z162" s="253">
        <v>622.8713706517309</v>
      </c>
      <c r="AA162" s="253">
        <v>641.21064265295138</v>
      </c>
      <c r="AB162" s="263">
        <v>659.5499146541722</v>
      </c>
      <c r="AC162" s="252">
        <v>677.88918665539279</v>
      </c>
      <c r="AD162" s="252">
        <v>697.38881756308399</v>
      </c>
      <c r="AE162" s="252">
        <v>715.7280895643047</v>
      </c>
      <c r="AF162" s="252">
        <v>734.06736156552529</v>
      </c>
      <c r="AG162" s="252">
        <v>752.40663356674588</v>
      </c>
      <c r="AH162" s="263">
        <v>770.7459055679667</v>
      </c>
    </row>
    <row r="163" spans="1:34" s="184" customFormat="1" ht="15.45" x14ac:dyDescent="0.4">
      <c r="A163" s="271"/>
      <c r="B163" s="139">
        <v>1350</v>
      </c>
      <c r="C163" s="273">
        <v>209.42383715647938</v>
      </c>
      <c r="D163" s="252">
        <v>222.08134144287573</v>
      </c>
      <c r="E163" s="252">
        <v>241.06759787247032</v>
      </c>
      <c r="F163" s="252">
        <v>261.35925807184401</v>
      </c>
      <c r="G163" s="252">
        <v>280.34551450143852</v>
      </c>
      <c r="H163" s="252">
        <v>299.33177093103313</v>
      </c>
      <c r="I163" s="252">
        <v>318.3180273606277</v>
      </c>
      <c r="J163" s="252">
        <v>337.30428379022209</v>
      </c>
      <c r="K163" s="252">
        <v>356.29054021981676</v>
      </c>
      <c r="L163" s="252">
        <v>375.27679664941132</v>
      </c>
      <c r="M163" s="252">
        <v>394.26305307900583</v>
      </c>
      <c r="N163" s="252">
        <v>414.55471327837967</v>
      </c>
      <c r="O163" s="252">
        <v>433.54096970797423</v>
      </c>
      <c r="P163" s="253">
        <v>452.52722613756862</v>
      </c>
      <c r="Q163" s="253">
        <v>471.51348256716324</v>
      </c>
      <c r="R163" s="253">
        <v>490.4997389967578</v>
      </c>
      <c r="S163" s="253">
        <v>509.48599542635236</v>
      </c>
      <c r="T163" s="253">
        <v>528.47225185594698</v>
      </c>
      <c r="U163" s="253">
        <v>547.45850828554148</v>
      </c>
      <c r="V163" s="252">
        <v>567.75016848491521</v>
      </c>
      <c r="W163" s="252">
        <v>586.7364249145096</v>
      </c>
      <c r="X163" s="253">
        <v>605.72268134410422</v>
      </c>
      <c r="Y163" s="253">
        <v>624.70893777369884</v>
      </c>
      <c r="Z163" s="253">
        <v>643.69519420329334</v>
      </c>
      <c r="AA163" s="253">
        <v>662.68145063288785</v>
      </c>
      <c r="AB163" s="263">
        <v>681.66770706248258</v>
      </c>
      <c r="AC163" s="252">
        <v>700.65396349207697</v>
      </c>
      <c r="AD163" s="252">
        <v>720.94562369145081</v>
      </c>
      <c r="AE163" s="252">
        <v>739.9318801210452</v>
      </c>
      <c r="AF163" s="252">
        <v>758.91813655063993</v>
      </c>
      <c r="AG163" s="252">
        <v>777.90439298023455</v>
      </c>
      <c r="AH163" s="263">
        <v>796.89064940982917</v>
      </c>
    </row>
    <row r="164" spans="1:34" s="184" customFormat="1" ht="15.45" x14ac:dyDescent="0.4">
      <c r="A164" s="271"/>
      <c r="B164" s="139">
        <v>1500</v>
      </c>
      <c r="C164" s="273">
        <v>215.14754574164095</v>
      </c>
      <c r="D164" s="252">
        <v>228.23637298028657</v>
      </c>
      <c r="E164" s="252">
        <v>247.86961383825505</v>
      </c>
      <c r="F164" s="252">
        <v>268.95330332931144</v>
      </c>
      <c r="G164" s="252">
        <v>288.58654418727986</v>
      </c>
      <c r="H164" s="252">
        <v>308.21978504524833</v>
      </c>
      <c r="I164" s="252">
        <v>327.8530259032168</v>
      </c>
      <c r="J164" s="252">
        <v>347.48626676118516</v>
      </c>
      <c r="K164" s="252">
        <v>367.11950761915364</v>
      </c>
      <c r="L164" s="252">
        <v>386.752748477122</v>
      </c>
      <c r="M164" s="252">
        <v>406.38598933509047</v>
      </c>
      <c r="N164" s="252">
        <v>427.46967882614683</v>
      </c>
      <c r="O164" s="252">
        <v>447.10291968411525</v>
      </c>
      <c r="P164" s="253">
        <v>466.73616054208367</v>
      </c>
      <c r="Q164" s="253">
        <v>486.36940140005214</v>
      </c>
      <c r="R164" s="253">
        <v>506.00264225802061</v>
      </c>
      <c r="S164" s="253">
        <v>525.63588311598892</v>
      </c>
      <c r="T164" s="253">
        <v>545.26912397395756</v>
      </c>
      <c r="U164" s="253">
        <v>564.90236483192598</v>
      </c>
      <c r="V164" s="252">
        <v>585.98605432298223</v>
      </c>
      <c r="W164" s="252">
        <v>605.61929518095064</v>
      </c>
      <c r="X164" s="253">
        <v>625.25253603891917</v>
      </c>
      <c r="Y164" s="253">
        <v>644.88577689688759</v>
      </c>
      <c r="Z164" s="253">
        <v>664.51901775485601</v>
      </c>
      <c r="AA164" s="253">
        <v>684.15225861282443</v>
      </c>
      <c r="AB164" s="263">
        <v>703.78549947079273</v>
      </c>
      <c r="AC164" s="252">
        <v>723.41874032876126</v>
      </c>
      <c r="AD164" s="252">
        <v>744.50242981981773</v>
      </c>
      <c r="AE164" s="252">
        <v>764.13567067778615</v>
      </c>
      <c r="AF164" s="252">
        <v>783.7689115357548</v>
      </c>
      <c r="AG164" s="252">
        <v>803.4021523937231</v>
      </c>
      <c r="AH164" s="263">
        <v>823.03539325169152</v>
      </c>
    </row>
    <row r="165" spans="1:34" s="184" customFormat="1" ht="15" customHeight="1" x14ac:dyDescent="0.4">
      <c r="A165" s="271"/>
      <c r="B165" s="139">
        <v>1650</v>
      </c>
      <c r="C165" s="273">
        <v>220.87125432680256</v>
      </c>
      <c r="D165" s="252">
        <v>234.39140451769745</v>
      </c>
      <c r="E165" s="252">
        <v>254.67162980403975</v>
      </c>
      <c r="F165" s="252">
        <v>276.54734858677887</v>
      </c>
      <c r="G165" s="252">
        <v>296.82757387312114</v>
      </c>
      <c r="H165" s="252">
        <v>317.10779915946347</v>
      </c>
      <c r="I165" s="252">
        <v>337.3880244458058</v>
      </c>
      <c r="J165" s="252">
        <v>357.66824973214807</v>
      </c>
      <c r="K165" s="252">
        <v>377.9484750184904</v>
      </c>
      <c r="L165" s="252">
        <v>398.22870030483267</v>
      </c>
      <c r="M165" s="252">
        <v>418.50892559117506</v>
      </c>
      <c r="N165" s="252">
        <v>440.38464437391406</v>
      </c>
      <c r="O165" s="252">
        <v>460.66486966025644</v>
      </c>
      <c r="P165" s="253">
        <v>480.94509494659872</v>
      </c>
      <c r="Q165" s="253">
        <v>501.22532023294104</v>
      </c>
      <c r="R165" s="253">
        <v>521.50554551928315</v>
      </c>
      <c r="S165" s="253">
        <v>541.78577080562559</v>
      </c>
      <c r="T165" s="253">
        <v>562.06599609196792</v>
      </c>
      <c r="U165" s="253">
        <v>582.34622137831025</v>
      </c>
      <c r="V165" s="252">
        <v>604.22194016104936</v>
      </c>
      <c r="W165" s="252">
        <v>624.50216544739169</v>
      </c>
      <c r="X165" s="253">
        <v>644.78239073373391</v>
      </c>
      <c r="Y165" s="253">
        <v>665.06261602007612</v>
      </c>
      <c r="Z165" s="253">
        <v>685.34284130641868</v>
      </c>
      <c r="AA165" s="253">
        <v>705.62306659276089</v>
      </c>
      <c r="AB165" s="263">
        <v>725.90329187910322</v>
      </c>
      <c r="AC165" s="252">
        <v>746.18351716544544</v>
      </c>
      <c r="AD165" s="252">
        <v>768.05923594818466</v>
      </c>
      <c r="AE165" s="252">
        <v>788.33946123452677</v>
      </c>
      <c r="AF165" s="252">
        <v>808.61968652086932</v>
      </c>
      <c r="AG165" s="252">
        <v>828.89991180721154</v>
      </c>
      <c r="AH165" s="263">
        <v>849.18013709355375</v>
      </c>
    </row>
    <row r="166" spans="1:34" s="184" customFormat="1" ht="15" customHeight="1" x14ac:dyDescent="0.4">
      <c r="A166" s="271"/>
      <c r="B166" s="139">
        <v>1800</v>
      </c>
      <c r="C166" s="273">
        <v>226.59496291196419</v>
      </c>
      <c r="D166" s="252">
        <v>240.54643605510836</v>
      </c>
      <c r="E166" s="252">
        <v>261.47364576982449</v>
      </c>
      <c r="F166" s="252">
        <v>284.14139384424624</v>
      </c>
      <c r="G166" s="252">
        <v>305.06860355896248</v>
      </c>
      <c r="H166" s="252">
        <v>325.99581327367866</v>
      </c>
      <c r="I166" s="252">
        <v>346.92302298839485</v>
      </c>
      <c r="J166" s="252">
        <v>367.85023270311109</v>
      </c>
      <c r="K166" s="252">
        <v>388.77744241782716</v>
      </c>
      <c r="L166" s="252">
        <v>409.70465213254334</v>
      </c>
      <c r="M166" s="252">
        <v>430.63186184725953</v>
      </c>
      <c r="N166" s="252">
        <v>453.29960992168128</v>
      </c>
      <c r="O166" s="252">
        <v>474.22681963639758</v>
      </c>
      <c r="P166" s="253">
        <v>495.15402935111376</v>
      </c>
      <c r="Q166" s="253">
        <v>516.08123906582989</v>
      </c>
      <c r="R166" s="253">
        <v>537.00844878054613</v>
      </c>
      <c r="S166" s="253">
        <v>557.93565849526215</v>
      </c>
      <c r="T166" s="253">
        <v>578.8628682099785</v>
      </c>
      <c r="U166" s="253">
        <v>599.79007792469451</v>
      </c>
      <c r="V166" s="252">
        <v>622.45782599911627</v>
      </c>
      <c r="W166" s="252">
        <v>643.38503571383251</v>
      </c>
      <c r="X166" s="253">
        <v>664.31224542854875</v>
      </c>
      <c r="Y166" s="253">
        <v>685.23945514326488</v>
      </c>
      <c r="Z166" s="253">
        <v>706.16666485798123</v>
      </c>
      <c r="AA166" s="253">
        <v>727.09387457269747</v>
      </c>
      <c r="AB166" s="263">
        <v>748.02108428741349</v>
      </c>
      <c r="AC166" s="252">
        <v>768.94829400212973</v>
      </c>
      <c r="AD166" s="252">
        <v>791.61604207655159</v>
      </c>
      <c r="AE166" s="252">
        <v>812.54325179126761</v>
      </c>
      <c r="AF166" s="252">
        <v>833.47046150598385</v>
      </c>
      <c r="AG166" s="252">
        <v>854.39767122069986</v>
      </c>
      <c r="AH166" s="263">
        <v>875.32488093541622</v>
      </c>
    </row>
    <row r="167" spans="1:34" s="184" customFormat="1" ht="15" customHeight="1" x14ac:dyDescent="0.4">
      <c r="A167" s="271"/>
      <c r="B167" s="139">
        <v>1950</v>
      </c>
      <c r="C167" s="273">
        <v>232.31867149712582</v>
      </c>
      <c r="D167" s="252">
        <v>246.70146759251918</v>
      </c>
      <c r="E167" s="252">
        <v>268.27566173560922</v>
      </c>
      <c r="F167" s="252">
        <v>291.73543910171372</v>
      </c>
      <c r="G167" s="252">
        <v>313.30963324480376</v>
      </c>
      <c r="H167" s="252">
        <v>334.88382738789386</v>
      </c>
      <c r="I167" s="252">
        <v>356.45802153098396</v>
      </c>
      <c r="J167" s="252">
        <v>378.03221567407394</v>
      </c>
      <c r="K167" s="252">
        <v>399.60640981716404</v>
      </c>
      <c r="L167" s="252">
        <v>421.18060396025407</v>
      </c>
      <c r="M167" s="252">
        <v>442.75479810334417</v>
      </c>
      <c r="N167" s="252">
        <v>466.21457546944862</v>
      </c>
      <c r="O167" s="252">
        <v>487.78876961253872</v>
      </c>
      <c r="P167" s="253">
        <v>509.36296375562875</v>
      </c>
      <c r="Q167" s="253">
        <v>530.93715789871874</v>
      </c>
      <c r="R167" s="253">
        <v>552.51135204180889</v>
      </c>
      <c r="S167" s="253">
        <v>574.08554618489882</v>
      </c>
      <c r="T167" s="253">
        <v>595.65974032798908</v>
      </c>
      <c r="U167" s="253">
        <v>617.2339344710789</v>
      </c>
      <c r="V167" s="252">
        <v>640.69371183718351</v>
      </c>
      <c r="W167" s="252">
        <v>662.26790598027344</v>
      </c>
      <c r="X167" s="253">
        <v>683.84210012336359</v>
      </c>
      <c r="Y167" s="253">
        <v>705.41629426645363</v>
      </c>
      <c r="Z167" s="253">
        <v>726.99048840954379</v>
      </c>
      <c r="AA167" s="253">
        <v>748.56468255263371</v>
      </c>
      <c r="AB167" s="263">
        <v>770.13887669572387</v>
      </c>
      <c r="AC167" s="252">
        <v>791.71307083881391</v>
      </c>
      <c r="AD167" s="252">
        <v>815.1728482049183</v>
      </c>
      <c r="AE167" s="252">
        <v>836.74704234800834</v>
      </c>
      <c r="AF167" s="252">
        <v>858.32123649109872</v>
      </c>
      <c r="AG167" s="252">
        <v>879.89543063418841</v>
      </c>
      <c r="AH167" s="263">
        <v>901.46962477727845</v>
      </c>
    </row>
    <row r="168" spans="1:34" s="184" customFormat="1" ht="15" customHeight="1" x14ac:dyDescent="0.4">
      <c r="A168" s="271"/>
      <c r="B168" s="139">
        <v>2100</v>
      </c>
      <c r="C168" s="273">
        <v>238.04238008228742</v>
      </c>
      <c r="D168" s="252">
        <v>252.85649912993009</v>
      </c>
      <c r="E168" s="252">
        <v>275.07767770139401</v>
      </c>
      <c r="F168" s="252">
        <v>299.32948435918115</v>
      </c>
      <c r="G168" s="252">
        <v>321.55066293064505</v>
      </c>
      <c r="H168" s="252">
        <v>343.77184150210894</v>
      </c>
      <c r="I168" s="252">
        <v>365.99302007357295</v>
      </c>
      <c r="J168" s="252">
        <v>388.21419864503684</v>
      </c>
      <c r="K168" s="252">
        <v>410.43537721650085</v>
      </c>
      <c r="L168" s="252">
        <v>432.65655578796475</v>
      </c>
      <c r="M168" s="252">
        <v>454.8777343594287</v>
      </c>
      <c r="N168" s="252">
        <v>479.1295410172159</v>
      </c>
      <c r="O168" s="252">
        <v>501.35071958867985</v>
      </c>
      <c r="P168" s="253">
        <v>523.57189816014363</v>
      </c>
      <c r="Q168" s="253">
        <v>545.79307673160758</v>
      </c>
      <c r="R168" s="253">
        <v>568.01425530307154</v>
      </c>
      <c r="S168" s="253">
        <v>590.23543387453549</v>
      </c>
      <c r="T168" s="253">
        <v>612.45661244599955</v>
      </c>
      <c r="U168" s="253">
        <v>634.67779101746339</v>
      </c>
      <c r="V168" s="252">
        <v>658.92959767525053</v>
      </c>
      <c r="W168" s="252">
        <v>681.1507762467146</v>
      </c>
      <c r="X168" s="253">
        <v>703.37195481817832</v>
      </c>
      <c r="Y168" s="253">
        <v>725.5931333896425</v>
      </c>
      <c r="Z168" s="253">
        <v>747.81431196110634</v>
      </c>
      <c r="AA168" s="253">
        <v>770.03549053257007</v>
      </c>
      <c r="AB168" s="263">
        <v>792.25666910403413</v>
      </c>
      <c r="AC168" s="252">
        <v>814.4778476754982</v>
      </c>
      <c r="AD168" s="252">
        <v>838.72965433328523</v>
      </c>
      <c r="AE168" s="252">
        <v>860.95083290474918</v>
      </c>
      <c r="AF168" s="252">
        <v>883.17201147621324</v>
      </c>
      <c r="AG168" s="252">
        <v>905.39319004767697</v>
      </c>
      <c r="AH168" s="263">
        <v>927.61436861914081</v>
      </c>
    </row>
    <row r="169" spans="1:34" s="184" customFormat="1" ht="15" customHeight="1" x14ac:dyDescent="0.4">
      <c r="A169" s="271"/>
      <c r="B169" s="139">
        <v>2250</v>
      </c>
      <c r="C169" s="273">
        <v>243.76608866744905</v>
      </c>
      <c r="D169" s="252">
        <v>259.01153066734088</v>
      </c>
      <c r="E169" s="252">
        <v>281.87969366717869</v>
      </c>
      <c r="F169" s="252">
        <v>306.92352961664852</v>
      </c>
      <c r="G169" s="252">
        <v>329.79169261648639</v>
      </c>
      <c r="H169" s="252">
        <v>352.65985561632414</v>
      </c>
      <c r="I169" s="252">
        <v>375.52801861616194</v>
      </c>
      <c r="J169" s="252">
        <v>398.39618161599986</v>
      </c>
      <c r="K169" s="252">
        <v>421.26434461583756</v>
      </c>
      <c r="L169" s="252">
        <v>444.13250761567537</v>
      </c>
      <c r="M169" s="252">
        <v>467.00067061551334</v>
      </c>
      <c r="N169" s="252">
        <v>492.04450656498307</v>
      </c>
      <c r="O169" s="252">
        <v>514.91266956482093</v>
      </c>
      <c r="P169" s="253">
        <v>537.78083256465879</v>
      </c>
      <c r="Q169" s="253">
        <v>560.64899556449643</v>
      </c>
      <c r="R169" s="253">
        <v>583.5171585643343</v>
      </c>
      <c r="S169" s="253">
        <v>606.38532156417216</v>
      </c>
      <c r="T169" s="253">
        <v>629.25348456401002</v>
      </c>
      <c r="U169" s="253">
        <v>652.12164756384777</v>
      </c>
      <c r="V169" s="252">
        <v>677.16548351331755</v>
      </c>
      <c r="W169" s="252">
        <v>700.03364651315542</v>
      </c>
      <c r="X169" s="253">
        <v>722.90180951299317</v>
      </c>
      <c r="Y169" s="253">
        <v>745.76997251283115</v>
      </c>
      <c r="Z169" s="253">
        <v>768.6381355126689</v>
      </c>
      <c r="AA169" s="253">
        <v>791.50629851250676</v>
      </c>
      <c r="AB169" s="263">
        <v>814.3744615123444</v>
      </c>
      <c r="AC169" s="252">
        <v>837.24262451218226</v>
      </c>
      <c r="AD169" s="252">
        <v>862.28646046165215</v>
      </c>
      <c r="AE169" s="252">
        <v>885.15462346148979</v>
      </c>
      <c r="AF169" s="252">
        <v>908.02278646132777</v>
      </c>
      <c r="AG169" s="252">
        <v>930.89094946116552</v>
      </c>
      <c r="AH169" s="263">
        <v>953.75911246100338</v>
      </c>
    </row>
    <row r="170" spans="1:34" s="184" customFormat="1" ht="15" customHeight="1" x14ac:dyDescent="0.4">
      <c r="A170" s="271"/>
      <c r="B170" s="139">
        <v>2400</v>
      </c>
      <c r="C170" s="273">
        <v>249.4897972526106</v>
      </c>
      <c r="D170" s="252">
        <v>265.16656220475176</v>
      </c>
      <c r="E170" s="252">
        <v>288.68170963296348</v>
      </c>
      <c r="F170" s="252">
        <v>314.51757487411601</v>
      </c>
      <c r="G170" s="252">
        <v>338.03272230232767</v>
      </c>
      <c r="H170" s="252">
        <v>361.54786973053939</v>
      </c>
      <c r="I170" s="252">
        <v>385.06301715875111</v>
      </c>
      <c r="J170" s="252">
        <v>408.57816458696277</v>
      </c>
      <c r="K170" s="252">
        <v>432.09331201517438</v>
      </c>
      <c r="L170" s="252">
        <v>455.60845944338615</v>
      </c>
      <c r="M170" s="252">
        <v>479.12360687159781</v>
      </c>
      <c r="N170" s="252">
        <v>504.95947211275029</v>
      </c>
      <c r="O170" s="252">
        <v>528.47461954096207</v>
      </c>
      <c r="P170" s="253">
        <v>551.98976696917384</v>
      </c>
      <c r="Q170" s="253">
        <v>575.50491439738551</v>
      </c>
      <c r="R170" s="253">
        <v>599.02006182559694</v>
      </c>
      <c r="S170" s="253">
        <v>622.53520925380883</v>
      </c>
      <c r="T170" s="253">
        <v>646.05035668202038</v>
      </c>
      <c r="U170" s="253">
        <v>669.56550411023204</v>
      </c>
      <c r="V170" s="252">
        <v>695.40136935138469</v>
      </c>
      <c r="W170" s="252">
        <v>718.91651677959635</v>
      </c>
      <c r="X170" s="253">
        <v>742.43166420780801</v>
      </c>
      <c r="Y170" s="253">
        <v>765.94681163601967</v>
      </c>
      <c r="Z170" s="253">
        <v>789.46195906423134</v>
      </c>
      <c r="AA170" s="253">
        <v>812.97710649244311</v>
      </c>
      <c r="AB170" s="263">
        <v>836.49225392065466</v>
      </c>
      <c r="AC170" s="252">
        <v>860.00740134886655</v>
      </c>
      <c r="AD170" s="252">
        <v>885.84326659001897</v>
      </c>
      <c r="AE170" s="252">
        <v>909.35841401823075</v>
      </c>
      <c r="AF170" s="252">
        <v>932.87356144644241</v>
      </c>
      <c r="AG170" s="252">
        <v>956.38870887465396</v>
      </c>
      <c r="AH170" s="263">
        <v>979.90385630286585</v>
      </c>
    </row>
    <row r="171" spans="1:34" s="184" customFormat="1" ht="15" customHeight="1" x14ac:dyDescent="0.4">
      <c r="A171" s="271"/>
      <c r="B171" s="139">
        <v>2550</v>
      </c>
      <c r="C171" s="273">
        <v>255.2135058377722</v>
      </c>
      <c r="D171" s="252">
        <v>271.32159374216269</v>
      </c>
      <c r="E171" s="252">
        <v>295.48372559874821</v>
      </c>
      <c r="F171" s="252">
        <v>322.11162013158338</v>
      </c>
      <c r="G171" s="252">
        <v>346.2737519881689</v>
      </c>
      <c r="H171" s="252">
        <v>370.43588384475458</v>
      </c>
      <c r="I171" s="252">
        <v>394.59801570134005</v>
      </c>
      <c r="J171" s="252">
        <v>418.76014755792568</v>
      </c>
      <c r="K171" s="252">
        <v>442.92227941451125</v>
      </c>
      <c r="L171" s="252">
        <v>467.08441127109683</v>
      </c>
      <c r="M171" s="252">
        <v>491.24654312768234</v>
      </c>
      <c r="N171" s="252">
        <v>517.87443766051751</v>
      </c>
      <c r="O171" s="252">
        <v>542.0365695171032</v>
      </c>
      <c r="P171" s="253">
        <v>566.19870137368878</v>
      </c>
      <c r="Q171" s="253">
        <v>590.36083323027412</v>
      </c>
      <c r="R171" s="253">
        <v>614.52296508685993</v>
      </c>
      <c r="S171" s="253">
        <v>638.68509694344539</v>
      </c>
      <c r="T171" s="253">
        <v>662.84722880003108</v>
      </c>
      <c r="U171" s="253">
        <v>687.00936065661642</v>
      </c>
      <c r="V171" s="252">
        <v>713.63725518945182</v>
      </c>
      <c r="W171" s="252">
        <v>737.79938704603728</v>
      </c>
      <c r="X171" s="253">
        <v>761.96151890262274</v>
      </c>
      <c r="Y171" s="253">
        <v>786.12365075920832</v>
      </c>
      <c r="Z171" s="253">
        <v>810.28578261579389</v>
      </c>
      <c r="AA171" s="253">
        <v>834.44791447237947</v>
      </c>
      <c r="AB171" s="263">
        <v>858.61004632896527</v>
      </c>
      <c r="AC171" s="252">
        <v>882.77217818555073</v>
      </c>
      <c r="AD171" s="252">
        <v>909.40007271838601</v>
      </c>
      <c r="AE171" s="252">
        <v>933.56220457497147</v>
      </c>
      <c r="AF171" s="252">
        <v>957.72433643155694</v>
      </c>
      <c r="AG171" s="252">
        <v>981.8864682881424</v>
      </c>
      <c r="AH171" s="263">
        <v>1006.0486001447281</v>
      </c>
    </row>
    <row r="172" spans="1:34" s="184" customFormat="1" ht="15" customHeight="1" x14ac:dyDescent="0.4">
      <c r="A172" s="271"/>
      <c r="B172" s="139">
        <v>2700</v>
      </c>
      <c r="C172" s="273">
        <v>260.93721442293389</v>
      </c>
      <c r="D172" s="252">
        <v>277.47662527957357</v>
      </c>
      <c r="E172" s="252">
        <v>302.285741564533</v>
      </c>
      <c r="F172" s="252">
        <v>329.70566538905081</v>
      </c>
      <c r="G172" s="252">
        <v>354.51478167401035</v>
      </c>
      <c r="H172" s="252">
        <v>379.32389795896967</v>
      </c>
      <c r="I172" s="252">
        <v>404.13301424392915</v>
      </c>
      <c r="J172" s="252">
        <v>428.94213052888864</v>
      </c>
      <c r="K172" s="252">
        <v>453.75124681384801</v>
      </c>
      <c r="L172" s="252">
        <v>478.5603630988075</v>
      </c>
      <c r="M172" s="252">
        <v>503.36947938376687</v>
      </c>
      <c r="N172" s="252">
        <v>530.78940320828485</v>
      </c>
      <c r="O172" s="252">
        <v>555.59851949324423</v>
      </c>
      <c r="P172" s="253">
        <v>580.40763577820348</v>
      </c>
      <c r="Q172" s="253">
        <v>605.21675206316309</v>
      </c>
      <c r="R172" s="253">
        <v>630.02586834812246</v>
      </c>
      <c r="S172" s="253">
        <v>654.83498463308206</v>
      </c>
      <c r="T172" s="253">
        <v>679.64410091804132</v>
      </c>
      <c r="U172" s="253">
        <v>704.4532172030008</v>
      </c>
      <c r="V172" s="252">
        <v>731.87314102751884</v>
      </c>
      <c r="W172" s="252">
        <v>756.68225731247821</v>
      </c>
      <c r="X172" s="253">
        <v>781.49137359743781</v>
      </c>
      <c r="Y172" s="253">
        <v>806.30048988239719</v>
      </c>
      <c r="Z172" s="253">
        <v>831.10960616735656</v>
      </c>
      <c r="AA172" s="253">
        <v>855.91872245231605</v>
      </c>
      <c r="AB172" s="263">
        <v>880.72783873727553</v>
      </c>
      <c r="AC172" s="252">
        <v>905.53695502223491</v>
      </c>
      <c r="AD172" s="252">
        <v>932.95687884675283</v>
      </c>
      <c r="AE172" s="252">
        <v>957.76599513171209</v>
      </c>
      <c r="AF172" s="252">
        <v>982.57511141667158</v>
      </c>
      <c r="AG172" s="252">
        <v>1007.3842277016312</v>
      </c>
      <c r="AH172" s="263">
        <v>1032.1933439865907</v>
      </c>
    </row>
    <row r="173" spans="1:34" s="184" customFormat="1" ht="15" customHeight="1" x14ac:dyDescent="0.4">
      <c r="A173" s="271"/>
      <c r="B173" s="139">
        <v>2850</v>
      </c>
      <c r="C173" s="273">
        <v>266.66092300809549</v>
      </c>
      <c r="D173" s="252">
        <v>283.63165681698433</v>
      </c>
      <c r="E173" s="252">
        <v>309.08775753031767</v>
      </c>
      <c r="F173" s="252">
        <v>337.29971064651829</v>
      </c>
      <c r="G173" s="252">
        <v>362.75581135985163</v>
      </c>
      <c r="H173" s="252">
        <v>388.21191207318486</v>
      </c>
      <c r="I173" s="252">
        <v>413.6680127865182</v>
      </c>
      <c r="J173" s="252">
        <v>439.12411349985149</v>
      </c>
      <c r="K173" s="252">
        <v>464.58021421318483</v>
      </c>
      <c r="L173" s="252">
        <v>490.03631492651823</v>
      </c>
      <c r="M173" s="252">
        <v>515.49241563985152</v>
      </c>
      <c r="N173" s="252">
        <v>543.70436875605208</v>
      </c>
      <c r="O173" s="252">
        <v>569.16046946938536</v>
      </c>
      <c r="P173" s="253">
        <v>594.61657018271853</v>
      </c>
      <c r="Q173" s="253">
        <v>620.07267089605205</v>
      </c>
      <c r="R173" s="253">
        <v>645.52877160938522</v>
      </c>
      <c r="S173" s="253">
        <v>670.98487232271873</v>
      </c>
      <c r="T173" s="253">
        <v>696.4409730360519</v>
      </c>
      <c r="U173" s="253">
        <v>721.8970737493853</v>
      </c>
      <c r="V173" s="252">
        <v>750.10902686558575</v>
      </c>
      <c r="W173" s="252">
        <v>775.56512757891915</v>
      </c>
      <c r="X173" s="253">
        <v>801.02122829225254</v>
      </c>
      <c r="Y173" s="253">
        <v>826.47732900558594</v>
      </c>
      <c r="Z173" s="253">
        <v>851.93342971891911</v>
      </c>
      <c r="AA173" s="253">
        <v>877.38953043225263</v>
      </c>
      <c r="AB173" s="263">
        <v>902.84563114558568</v>
      </c>
      <c r="AC173" s="252">
        <v>928.30173185891908</v>
      </c>
      <c r="AD173" s="252">
        <v>956.51368497511942</v>
      </c>
      <c r="AE173" s="252">
        <v>981.96978568845304</v>
      </c>
      <c r="AF173" s="252">
        <v>1007.4258864017863</v>
      </c>
      <c r="AG173" s="252">
        <v>1032.8819871151197</v>
      </c>
      <c r="AH173" s="263">
        <v>1058.3380878284529</v>
      </c>
    </row>
    <row r="174" spans="1:34" s="184" customFormat="1" ht="15" customHeight="1" thickBot="1" x14ac:dyDescent="0.45">
      <c r="A174" s="271"/>
      <c r="B174" s="140">
        <v>3000</v>
      </c>
      <c r="C174" s="274">
        <v>272.38463159325715</v>
      </c>
      <c r="D174" s="255">
        <v>289.78668835439521</v>
      </c>
      <c r="E174" s="255">
        <v>315.88977349610246</v>
      </c>
      <c r="F174" s="255">
        <v>344.89375590398561</v>
      </c>
      <c r="G174" s="255">
        <v>370.99684104569286</v>
      </c>
      <c r="H174" s="255">
        <v>397.09992618740006</v>
      </c>
      <c r="I174" s="255">
        <v>423.20301132910726</v>
      </c>
      <c r="J174" s="255">
        <v>449.3060964708144</v>
      </c>
      <c r="K174" s="255">
        <v>475.40918161252159</v>
      </c>
      <c r="L174" s="255">
        <v>501.51226675422879</v>
      </c>
      <c r="M174" s="255">
        <v>527.6153518959361</v>
      </c>
      <c r="N174" s="255">
        <v>556.61933430381941</v>
      </c>
      <c r="O174" s="255">
        <v>582.7224194455265</v>
      </c>
      <c r="P174" s="256">
        <v>608.82550458723358</v>
      </c>
      <c r="Q174" s="256">
        <v>634.92858972894089</v>
      </c>
      <c r="R174" s="256">
        <v>661.03167487064798</v>
      </c>
      <c r="S174" s="256">
        <v>687.13476001235517</v>
      </c>
      <c r="T174" s="256">
        <v>713.2378451540626</v>
      </c>
      <c r="U174" s="256">
        <v>739.34093029576979</v>
      </c>
      <c r="V174" s="255">
        <v>768.34491270365288</v>
      </c>
      <c r="W174" s="255">
        <v>794.44799784535996</v>
      </c>
      <c r="X174" s="256">
        <v>820.55108298706728</v>
      </c>
      <c r="Y174" s="256">
        <v>846.65416812877447</v>
      </c>
      <c r="Z174" s="256">
        <v>872.75725327048167</v>
      </c>
      <c r="AA174" s="256">
        <v>898.86033841218875</v>
      </c>
      <c r="AB174" s="265">
        <v>924.96342355389606</v>
      </c>
      <c r="AC174" s="255">
        <v>951.06650869560326</v>
      </c>
      <c r="AD174" s="255">
        <v>980.07049110348657</v>
      </c>
      <c r="AE174" s="255">
        <v>1006.1735762451935</v>
      </c>
      <c r="AF174" s="255">
        <v>1032.2766613869007</v>
      </c>
      <c r="AG174" s="255">
        <v>1058.3797465286082</v>
      </c>
      <c r="AH174" s="265">
        <v>1084.4828316703154</v>
      </c>
    </row>
    <row r="175" spans="1:34" s="275" customFormat="1" ht="15.9" thickBot="1" x14ac:dyDescent="0.45">
      <c r="B175" s="290" t="s">
        <v>54</v>
      </c>
      <c r="C175" s="291">
        <v>12.233398535170325</v>
      </c>
      <c r="D175" s="2">
        <v>13.389197294910959</v>
      </c>
      <c r="E175" s="2">
        <v>14.544996054651593</v>
      </c>
      <c r="F175" s="1">
        <v>15.700794814392196</v>
      </c>
      <c r="G175" s="2">
        <v>16.856593574132816</v>
      </c>
      <c r="H175" s="1">
        <v>18.012392333873454</v>
      </c>
      <c r="I175" s="2">
        <v>19.168191093614059</v>
      </c>
      <c r="J175" s="1">
        <v>20.323989853354693</v>
      </c>
      <c r="K175" s="2">
        <v>21.479788613095298</v>
      </c>
      <c r="L175" s="1">
        <v>22.635587372835904</v>
      </c>
      <c r="M175" s="2">
        <v>23.791386132576569</v>
      </c>
      <c r="N175" s="1">
        <v>24.947184892317143</v>
      </c>
      <c r="O175" s="2">
        <v>26.10298365205778</v>
      </c>
      <c r="P175" s="1">
        <v>27.258782411798446</v>
      </c>
      <c r="Q175" s="2">
        <v>28.414581171539115</v>
      </c>
      <c r="R175" s="1">
        <v>29.570379931279685</v>
      </c>
      <c r="S175" s="2">
        <v>30.726178691020323</v>
      </c>
      <c r="T175" s="1">
        <v>31.881977450760893</v>
      </c>
      <c r="U175" s="2">
        <v>33.037776210501534</v>
      </c>
      <c r="V175" s="1">
        <v>34.193574970242167</v>
      </c>
      <c r="W175" s="2">
        <v>35.349373729982801</v>
      </c>
      <c r="X175" s="1">
        <v>36.505172489723449</v>
      </c>
      <c r="Y175" s="2">
        <v>37.66097124946409</v>
      </c>
      <c r="Z175" s="1">
        <v>38.816770009204731</v>
      </c>
      <c r="AA175" s="2">
        <v>39.972568768945372</v>
      </c>
      <c r="AB175" s="292">
        <v>41.128367528686013</v>
      </c>
      <c r="AC175" s="1">
        <v>42.284166288426654</v>
      </c>
      <c r="AD175" s="1">
        <v>43.439965048167295</v>
      </c>
      <c r="AE175" s="1">
        <v>44.595763807907936</v>
      </c>
      <c r="AF175" s="1">
        <v>45.751562567648577</v>
      </c>
      <c r="AG175" s="1">
        <v>46.907361327389218</v>
      </c>
      <c r="AH175" s="292">
        <v>48.063160087129866</v>
      </c>
    </row>
    <row r="176" spans="1:34" s="184" customFormat="1" x14ac:dyDescent="0.4"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</row>
    <row r="177" spans="1:34" s="160" customFormat="1" ht="45.9" thickBot="1" x14ac:dyDescent="1.1000000000000001">
      <c r="A177" s="269"/>
      <c r="B177" s="161" t="s">
        <v>46</v>
      </c>
      <c r="C177" s="161"/>
      <c r="D177" s="129"/>
      <c r="E177" s="129"/>
      <c r="F177" s="129"/>
      <c r="G177" s="129"/>
      <c r="H177" s="98"/>
      <c r="I177" s="130"/>
      <c r="J177" s="130"/>
      <c r="K177" s="130"/>
      <c r="L177" s="129"/>
      <c r="M177" s="129"/>
      <c r="N177" s="172"/>
      <c r="O177" s="177"/>
      <c r="P177" s="129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78"/>
      <c r="AB177" s="143"/>
      <c r="AC177" s="143"/>
      <c r="AD177" s="143"/>
      <c r="AE177" s="143"/>
      <c r="AF177" s="143"/>
      <c r="AG177" s="143"/>
      <c r="AH177" s="143"/>
    </row>
    <row r="178" spans="1:34" s="160" customFormat="1" ht="15.9" thickBot="1" x14ac:dyDescent="0.45">
      <c r="A178" s="269"/>
      <c r="B178" s="165"/>
      <c r="C178" s="166">
        <v>800</v>
      </c>
      <c r="D178" s="136">
        <v>900</v>
      </c>
      <c r="E178" s="136">
        <v>1050</v>
      </c>
      <c r="F178" s="135">
        <v>1200</v>
      </c>
      <c r="G178" s="136">
        <v>1350</v>
      </c>
      <c r="H178" s="135">
        <v>1500</v>
      </c>
      <c r="I178" s="136">
        <v>1650</v>
      </c>
      <c r="J178" s="135">
        <v>1800</v>
      </c>
      <c r="K178" s="136">
        <v>1950</v>
      </c>
      <c r="L178" s="135">
        <v>2100</v>
      </c>
      <c r="M178" s="136">
        <v>2250</v>
      </c>
      <c r="N178" s="135">
        <v>2400</v>
      </c>
      <c r="O178" s="136">
        <v>2550</v>
      </c>
      <c r="P178" s="135">
        <v>2700</v>
      </c>
      <c r="Q178" s="136">
        <v>2850</v>
      </c>
      <c r="R178" s="135">
        <v>3000</v>
      </c>
      <c r="S178" s="136">
        <v>3150</v>
      </c>
      <c r="T178" s="135">
        <v>3300</v>
      </c>
      <c r="U178" s="136">
        <v>3450</v>
      </c>
      <c r="V178" s="135">
        <v>3600</v>
      </c>
      <c r="W178" s="136">
        <v>3750</v>
      </c>
      <c r="X178" s="135">
        <v>3900</v>
      </c>
      <c r="Y178" s="136">
        <v>4050</v>
      </c>
      <c r="Z178" s="135">
        <v>4200</v>
      </c>
      <c r="AA178" s="136">
        <v>4350</v>
      </c>
      <c r="AB178" s="167">
        <v>4500</v>
      </c>
      <c r="AC178" s="135">
        <v>4650</v>
      </c>
      <c r="AD178" s="136">
        <v>4800</v>
      </c>
      <c r="AE178" s="136">
        <v>4950</v>
      </c>
      <c r="AF178" s="135">
        <v>5100</v>
      </c>
      <c r="AG178" s="136">
        <v>5250</v>
      </c>
      <c r="AH178" s="137">
        <v>5400</v>
      </c>
    </row>
    <row r="179" spans="1:34" s="160" customFormat="1" ht="15.45" x14ac:dyDescent="0.4">
      <c r="A179" s="269"/>
      <c r="B179" s="169">
        <v>900</v>
      </c>
      <c r="C179" s="257">
        <v>212.07219886241714</v>
      </c>
      <c r="D179" s="249">
        <v>226.73624557086038</v>
      </c>
      <c r="E179" s="249">
        <v>248.73231563352522</v>
      </c>
      <c r="F179" s="249">
        <v>271.68253624277565</v>
      </c>
      <c r="G179" s="249">
        <v>293.67860630544061</v>
      </c>
      <c r="H179" s="249">
        <v>315.67467636810545</v>
      </c>
      <c r="I179" s="249">
        <v>337.67074643077029</v>
      </c>
      <c r="J179" s="249">
        <v>359.66681649343508</v>
      </c>
      <c r="K179" s="249">
        <v>381.66288655609998</v>
      </c>
      <c r="L179" s="249">
        <v>403.65895661876476</v>
      </c>
      <c r="M179" s="249">
        <v>425.65502668142966</v>
      </c>
      <c r="N179" s="249">
        <v>448.60524729068021</v>
      </c>
      <c r="O179" s="249">
        <v>470.601317353345</v>
      </c>
      <c r="P179" s="250">
        <v>492.59738741600984</v>
      </c>
      <c r="Q179" s="250">
        <v>514.59345747867474</v>
      </c>
      <c r="R179" s="250">
        <v>536.58952754133952</v>
      </c>
      <c r="S179" s="250">
        <v>558.58559760400442</v>
      </c>
      <c r="T179" s="250">
        <v>580.58166766666932</v>
      </c>
      <c r="U179" s="250">
        <v>602.5777377293341</v>
      </c>
      <c r="V179" s="249">
        <v>625.52795833858454</v>
      </c>
      <c r="W179" s="249">
        <v>647.52402840124955</v>
      </c>
      <c r="X179" s="250">
        <v>669.52009846391434</v>
      </c>
      <c r="Y179" s="250">
        <v>691.51616852657912</v>
      </c>
      <c r="Z179" s="260" t="s">
        <v>7</v>
      </c>
      <c r="AA179" s="260" t="s">
        <v>7</v>
      </c>
      <c r="AB179" s="261" t="s">
        <v>7</v>
      </c>
      <c r="AC179" s="259" t="s">
        <v>7</v>
      </c>
      <c r="AD179" s="260" t="s">
        <v>7</v>
      </c>
      <c r="AE179" s="260" t="s">
        <v>7</v>
      </c>
      <c r="AF179" s="260" t="s">
        <v>7</v>
      </c>
      <c r="AG179" s="260" t="s">
        <v>7</v>
      </c>
      <c r="AH179" s="261" t="s">
        <v>7</v>
      </c>
    </row>
    <row r="180" spans="1:34" s="160" customFormat="1" ht="15.45" x14ac:dyDescent="0.4">
      <c r="A180" s="269"/>
      <c r="B180" s="170">
        <v>1050</v>
      </c>
      <c r="C180" s="262">
        <v>218.34759020277505</v>
      </c>
      <c r="D180" s="252">
        <v>233.48453316006987</v>
      </c>
      <c r="E180" s="252">
        <v>256.18994759601213</v>
      </c>
      <c r="F180" s="252">
        <v>280.00853766963746</v>
      </c>
      <c r="G180" s="252">
        <v>302.71395210557984</v>
      </c>
      <c r="H180" s="252">
        <v>325.41936654152198</v>
      </c>
      <c r="I180" s="252">
        <v>348.12478097746435</v>
      </c>
      <c r="J180" s="252">
        <v>370.83019541340656</v>
      </c>
      <c r="K180" s="252">
        <v>393.53560984934876</v>
      </c>
      <c r="L180" s="252">
        <v>416.24102428529102</v>
      </c>
      <c r="M180" s="252">
        <v>438.94643872123322</v>
      </c>
      <c r="N180" s="252">
        <v>462.76502879485872</v>
      </c>
      <c r="O180" s="252">
        <v>485.47044323080104</v>
      </c>
      <c r="P180" s="253">
        <v>508.17585766674324</v>
      </c>
      <c r="Q180" s="253">
        <v>530.88127210268544</v>
      </c>
      <c r="R180" s="253">
        <v>553.58668653862765</v>
      </c>
      <c r="S180" s="253">
        <v>576.29210097457008</v>
      </c>
      <c r="T180" s="253">
        <v>598.99751541051205</v>
      </c>
      <c r="U180" s="253">
        <v>621.70292984645437</v>
      </c>
      <c r="V180" s="252">
        <v>645.52151992007964</v>
      </c>
      <c r="W180" s="252">
        <v>668.22693435602207</v>
      </c>
      <c r="X180" s="253">
        <v>690.93234879196427</v>
      </c>
      <c r="Y180" s="253">
        <v>713.63776322790659</v>
      </c>
      <c r="Z180" s="260" t="s">
        <v>7</v>
      </c>
      <c r="AA180" s="260" t="s">
        <v>7</v>
      </c>
      <c r="AB180" s="261" t="s">
        <v>7</v>
      </c>
      <c r="AC180" s="259" t="s">
        <v>7</v>
      </c>
      <c r="AD180" s="260" t="s">
        <v>7</v>
      </c>
      <c r="AE180" s="260" t="s">
        <v>7</v>
      </c>
      <c r="AF180" s="260" t="s">
        <v>7</v>
      </c>
      <c r="AG180" s="260" t="s">
        <v>7</v>
      </c>
      <c r="AH180" s="261" t="s">
        <v>7</v>
      </c>
    </row>
    <row r="181" spans="1:34" s="160" customFormat="1" ht="15.45" x14ac:dyDescent="0.4">
      <c r="A181" s="269"/>
      <c r="B181" s="170">
        <v>1200</v>
      </c>
      <c r="C181" s="262">
        <v>224.62298154313302</v>
      </c>
      <c r="D181" s="252">
        <v>240.23282074927937</v>
      </c>
      <c r="E181" s="252">
        <v>263.64757955849905</v>
      </c>
      <c r="F181" s="252">
        <v>288.3345390964995</v>
      </c>
      <c r="G181" s="252">
        <v>311.74929790571912</v>
      </c>
      <c r="H181" s="252">
        <v>335.16405671493862</v>
      </c>
      <c r="I181" s="252">
        <v>358.5788155241583</v>
      </c>
      <c r="J181" s="252">
        <v>381.99357433337798</v>
      </c>
      <c r="K181" s="252">
        <v>405.40833314259754</v>
      </c>
      <c r="L181" s="252">
        <v>428.82309195181716</v>
      </c>
      <c r="M181" s="252">
        <v>452.23785076103684</v>
      </c>
      <c r="N181" s="252">
        <v>476.92481029903718</v>
      </c>
      <c r="O181" s="252">
        <v>500.33956910825685</v>
      </c>
      <c r="P181" s="253">
        <v>523.75432791747653</v>
      </c>
      <c r="Q181" s="253">
        <v>547.16908672669615</v>
      </c>
      <c r="R181" s="253">
        <v>570.58384553591566</v>
      </c>
      <c r="S181" s="253">
        <v>593.99860434513516</v>
      </c>
      <c r="T181" s="253">
        <v>617.41336315435501</v>
      </c>
      <c r="U181" s="253">
        <v>640.82812196357452</v>
      </c>
      <c r="V181" s="252">
        <v>665.51508150157508</v>
      </c>
      <c r="W181" s="252">
        <v>688.92984031079459</v>
      </c>
      <c r="X181" s="253">
        <v>712.34459912001444</v>
      </c>
      <c r="Y181" s="253">
        <v>735.75935792923394</v>
      </c>
      <c r="Z181" s="260" t="s">
        <v>7</v>
      </c>
      <c r="AA181" s="260" t="s">
        <v>7</v>
      </c>
      <c r="AB181" s="261" t="s">
        <v>7</v>
      </c>
      <c r="AC181" s="259" t="s">
        <v>7</v>
      </c>
      <c r="AD181" s="260" t="s">
        <v>7</v>
      </c>
      <c r="AE181" s="260" t="s">
        <v>7</v>
      </c>
      <c r="AF181" s="260" t="s">
        <v>7</v>
      </c>
      <c r="AG181" s="260" t="s">
        <v>7</v>
      </c>
      <c r="AH181" s="261" t="s">
        <v>7</v>
      </c>
    </row>
    <row r="182" spans="1:34" s="160" customFormat="1" ht="15.45" x14ac:dyDescent="0.4">
      <c r="A182" s="269"/>
      <c r="B182" s="170">
        <v>1350</v>
      </c>
      <c r="C182" s="262">
        <v>230.89837288349088</v>
      </c>
      <c r="D182" s="252">
        <v>246.98110833848889</v>
      </c>
      <c r="E182" s="252">
        <v>271.1052115209859</v>
      </c>
      <c r="F182" s="252">
        <v>296.66054052336136</v>
      </c>
      <c r="G182" s="252">
        <v>320.78464370585834</v>
      </c>
      <c r="H182" s="252">
        <v>344.90874688835538</v>
      </c>
      <c r="I182" s="252">
        <v>369.03285007085242</v>
      </c>
      <c r="J182" s="252">
        <v>393.1569532533494</v>
      </c>
      <c r="K182" s="252">
        <v>417.28105643584632</v>
      </c>
      <c r="L182" s="252">
        <v>441.40515961834342</v>
      </c>
      <c r="M182" s="252">
        <v>465.52926280084046</v>
      </c>
      <c r="N182" s="252">
        <v>491.08459180321574</v>
      </c>
      <c r="O182" s="252">
        <v>515.20869498571278</v>
      </c>
      <c r="P182" s="253">
        <v>539.33279816820971</v>
      </c>
      <c r="Q182" s="253">
        <v>563.45690135070686</v>
      </c>
      <c r="R182" s="253">
        <v>587.58100453320378</v>
      </c>
      <c r="S182" s="253">
        <v>611.70510771570071</v>
      </c>
      <c r="T182" s="253">
        <v>635.82921089819786</v>
      </c>
      <c r="U182" s="253">
        <v>659.95331408069478</v>
      </c>
      <c r="V182" s="252">
        <v>685.50864308307041</v>
      </c>
      <c r="W182" s="252">
        <v>709.63274626556733</v>
      </c>
      <c r="X182" s="253">
        <v>733.75684944806414</v>
      </c>
      <c r="Y182" s="253">
        <v>757.88095263056118</v>
      </c>
      <c r="Z182" s="260" t="s">
        <v>7</v>
      </c>
      <c r="AA182" s="260" t="s">
        <v>7</v>
      </c>
      <c r="AB182" s="261" t="s">
        <v>7</v>
      </c>
      <c r="AC182" s="259" t="s">
        <v>7</v>
      </c>
      <c r="AD182" s="260" t="s">
        <v>7</v>
      </c>
      <c r="AE182" s="260" t="s">
        <v>7</v>
      </c>
      <c r="AF182" s="260" t="s">
        <v>7</v>
      </c>
      <c r="AG182" s="260" t="s">
        <v>7</v>
      </c>
      <c r="AH182" s="261" t="s">
        <v>7</v>
      </c>
    </row>
    <row r="183" spans="1:34" s="160" customFormat="1" ht="15.45" x14ac:dyDescent="0.4">
      <c r="A183" s="269"/>
      <c r="B183" s="170">
        <v>1500</v>
      </c>
      <c r="C183" s="262">
        <v>237.17376422384882</v>
      </c>
      <c r="D183" s="252">
        <v>253.72939592769839</v>
      </c>
      <c r="E183" s="252">
        <v>278.56284348347276</v>
      </c>
      <c r="F183" s="252">
        <v>304.98654195022317</v>
      </c>
      <c r="G183" s="252">
        <v>329.81998950599751</v>
      </c>
      <c r="H183" s="252">
        <v>354.65343706177197</v>
      </c>
      <c r="I183" s="252">
        <v>379.48688461754637</v>
      </c>
      <c r="J183" s="252">
        <v>404.32033217332071</v>
      </c>
      <c r="K183" s="252">
        <v>429.15377972909516</v>
      </c>
      <c r="L183" s="252">
        <v>453.98722728486956</v>
      </c>
      <c r="M183" s="252">
        <v>478.8206748406439</v>
      </c>
      <c r="N183" s="252">
        <v>505.24437330739426</v>
      </c>
      <c r="O183" s="252">
        <v>530.07782086316888</v>
      </c>
      <c r="P183" s="253">
        <v>554.911268418943</v>
      </c>
      <c r="Q183" s="253">
        <v>579.74471597471745</v>
      </c>
      <c r="R183" s="253">
        <v>604.57816353049191</v>
      </c>
      <c r="S183" s="253">
        <v>629.41161108626613</v>
      </c>
      <c r="T183" s="253">
        <v>654.2450586420407</v>
      </c>
      <c r="U183" s="253">
        <v>679.07850619781516</v>
      </c>
      <c r="V183" s="252">
        <v>705.5022046645654</v>
      </c>
      <c r="W183" s="252">
        <v>730.33565222033985</v>
      </c>
      <c r="X183" s="253">
        <v>755.16909977611419</v>
      </c>
      <c r="Y183" s="253">
        <v>780.00254733188865</v>
      </c>
      <c r="Z183" s="260" t="s">
        <v>7</v>
      </c>
      <c r="AA183" s="260" t="s">
        <v>7</v>
      </c>
      <c r="AB183" s="261" t="s">
        <v>7</v>
      </c>
      <c r="AC183" s="259" t="s">
        <v>7</v>
      </c>
      <c r="AD183" s="260" t="s">
        <v>7</v>
      </c>
      <c r="AE183" s="260" t="s">
        <v>7</v>
      </c>
      <c r="AF183" s="260" t="s">
        <v>7</v>
      </c>
      <c r="AG183" s="260" t="s">
        <v>7</v>
      </c>
      <c r="AH183" s="261" t="s">
        <v>7</v>
      </c>
    </row>
    <row r="184" spans="1:34" s="160" customFormat="1" ht="15" customHeight="1" x14ac:dyDescent="0.4">
      <c r="A184" s="269"/>
      <c r="B184" s="170">
        <v>1650</v>
      </c>
      <c r="C184" s="262">
        <v>243.44915556420671</v>
      </c>
      <c r="D184" s="252">
        <v>260.47768351690792</v>
      </c>
      <c r="E184" s="252">
        <v>286.02047544595973</v>
      </c>
      <c r="F184" s="252">
        <v>313.31254337708509</v>
      </c>
      <c r="G184" s="252">
        <v>338.85533530613679</v>
      </c>
      <c r="H184" s="252">
        <v>364.39812723518867</v>
      </c>
      <c r="I184" s="252">
        <v>389.94091916424031</v>
      </c>
      <c r="J184" s="252">
        <v>415.48371109329219</v>
      </c>
      <c r="K184" s="252">
        <v>441.02650302234395</v>
      </c>
      <c r="L184" s="252">
        <v>466.5692949513957</v>
      </c>
      <c r="M184" s="252">
        <v>492.11208688044758</v>
      </c>
      <c r="N184" s="252">
        <v>519.40415481157288</v>
      </c>
      <c r="O184" s="252">
        <v>544.94694674062475</v>
      </c>
      <c r="P184" s="253">
        <v>570.48973866967629</v>
      </c>
      <c r="Q184" s="253">
        <v>596.03253059872816</v>
      </c>
      <c r="R184" s="253">
        <v>621.57532252777992</v>
      </c>
      <c r="S184" s="253">
        <v>647.11811445683168</v>
      </c>
      <c r="T184" s="253">
        <v>672.66090638588366</v>
      </c>
      <c r="U184" s="253">
        <v>698.2036983149352</v>
      </c>
      <c r="V184" s="252">
        <v>725.49576624606073</v>
      </c>
      <c r="W184" s="252">
        <v>751.0385581751126</v>
      </c>
      <c r="X184" s="253">
        <v>776.58135010416402</v>
      </c>
      <c r="Y184" s="253">
        <v>802.124142033216</v>
      </c>
      <c r="Z184" s="260" t="s">
        <v>7</v>
      </c>
      <c r="AA184" s="260" t="s">
        <v>7</v>
      </c>
      <c r="AB184" s="261" t="s">
        <v>7</v>
      </c>
      <c r="AC184" s="259" t="s">
        <v>7</v>
      </c>
      <c r="AD184" s="260" t="s">
        <v>7</v>
      </c>
      <c r="AE184" s="260" t="s">
        <v>7</v>
      </c>
      <c r="AF184" s="260" t="s">
        <v>7</v>
      </c>
      <c r="AG184" s="260" t="s">
        <v>7</v>
      </c>
      <c r="AH184" s="261" t="s">
        <v>7</v>
      </c>
    </row>
    <row r="185" spans="1:34" s="160" customFormat="1" ht="15" customHeight="1" x14ac:dyDescent="0.4">
      <c r="A185" s="269"/>
      <c r="B185" s="170">
        <v>1800</v>
      </c>
      <c r="C185" s="262">
        <v>249.72454690456462</v>
      </c>
      <c r="D185" s="252">
        <v>267.22597110611741</v>
      </c>
      <c r="E185" s="252">
        <v>293.47810740844653</v>
      </c>
      <c r="F185" s="252">
        <v>321.63854480394684</v>
      </c>
      <c r="G185" s="252">
        <v>347.89068110627602</v>
      </c>
      <c r="H185" s="252">
        <v>374.14281740860525</v>
      </c>
      <c r="I185" s="252">
        <v>400.39495371093437</v>
      </c>
      <c r="J185" s="252">
        <v>426.64709001326361</v>
      </c>
      <c r="K185" s="252">
        <v>452.89922631559278</v>
      </c>
      <c r="L185" s="252">
        <v>479.1513626179219</v>
      </c>
      <c r="M185" s="252">
        <v>505.40349892025097</v>
      </c>
      <c r="N185" s="252">
        <v>533.56393631575145</v>
      </c>
      <c r="O185" s="252">
        <v>559.81607261808063</v>
      </c>
      <c r="P185" s="253">
        <v>586.0682089204098</v>
      </c>
      <c r="Q185" s="253">
        <v>612.32034522273875</v>
      </c>
      <c r="R185" s="253">
        <v>638.57248152506804</v>
      </c>
      <c r="S185" s="253">
        <v>664.82461782739711</v>
      </c>
      <c r="T185" s="253">
        <v>691.0767541297264</v>
      </c>
      <c r="U185" s="253">
        <v>717.32889043205557</v>
      </c>
      <c r="V185" s="252">
        <v>745.48932782755605</v>
      </c>
      <c r="W185" s="252">
        <v>771.741464129885</v>
      </c>
      <c r="X185" s="253">
        <v>797.99360043221407</v>
      </c>
      <c r="Y185" s="253">
        <v>824.24573673454336</v>
      </c>
      <c r="Z185" s="260" t="s">
        <v>7</v>
      </c>
      <c r="AA185" s="260" t="s">
        <v>7</v>
      </c>
      <c r="AB185" s="261" t="s">
        <v>7</v>
      </c>
      <c r="AC185" s="259" t="s">
        <v>7</v>
      </c>
      <c r="AD185" s="260" t="s">
        <v>7</v>
      </c>
      <c r="AE185" s="260" t="s">
        <v>7</v>
      </c>
      <c r="AF185" s="260" t="s">
        <v>7</v>
      </c>
      <c r="AG185" s="260" t="s">
        <v>7</v>
      </c>
      <c r="AH185" s="261" t="s">
        <v>7</v>
      </c>
    </row>
    <row r="186" spans="1:34" s="160" customFormat="1" ht="15" customHeight="1" x14ac:dyDescent="0.4">
      <c r="A186" s="269"/>
      <c r="B186" s="170">
        <v>1950</v>
      </c>
      <c r="C186" s="262">
        <v>255.99993824492253</v>
      </c>
      <c r="D186" s="252">
        <v>273.97425869532691</v>
      </c>
      <c r="E186" s="252">
        <v>300.93573937093345</v>
      </c>
      <c r="F186" s="252">
        <v>329.96454623080888</v>
      </c>
      <c r="G186" s="252">
        <v>356.92602690641536</v>
      </c>
      <c r="H186" s="252">
        <v>383.88750758202184</v>
      </c>
      <c r="I186" s="252">
        <v>410.84898825762838</v>
      </c>
      <c r="J186" s="252">
        <v>437.81046893323492</v>
      </c>
      <c r="K186" s="252">
        <v>464.77194960884162</v>
      </c>
      <c r="L186" s="252">
        <v>491.7334302844481</v>
      </c>
      <c r="M186" s="252">
        <v>518.69491096005459</v>
      </c>
      <c r="N186" s="252">
        <v>547.72371781993002</v>
      </c>
      <c r="O186" s="252">
        <v>574.6851984955365</v>
      </c>
      <c r="P186" s="253">
        <v>601.64667917114309</v>
      </c>
      <c r="Q186" s="253">
        <v>628.60815984674946</v>
      </c>
      <c r="R186" s="253">
        <v>655.56964052235605</v>
      </c>
      <c r="S186" s="253">
        <v>682.53112119796276</v>
      </c>
      <c r="T186" s="253">
        <v>709.49260187356913</v>
      </c>
      <c r="U186" s="253">
        <v>736.45408254917572</v>
      </c>
      <c r="V186" s="252">
        <v>765.48288940905104</v>
      </c>
      <c r="W186" s="252">
        <v>792.44437008465752</v>
      </c>
      <c r="X186" s="253">
        <v>819.40585076026423</v>
      </c>
      <c r="Y186" s="253">
        <v>846.3673314358706</v>
      </c>
      <c r="Z186" s="260" t="s">
        <v>7</v>
      </c>
      <c r="AA186" s="260" t="s">
        <v>7</v>
      </c>
      <c r="AB186" s="261" t="s">
        <v>7</v>
      </c>
      <c r="AC186" s="259" t="s">
        <v>7</v>
      </c>
      <c r="AD186" s="260" t="s">
        <v>7</v>
      </c>
      <c r="AE186" s="260" t="s">
        <v>7</v>
      </c>
      <c r="AF186" s="260" t="s">
        <v>7</v>
      </c>
      <c r="AG186" s="260" t="s">
        <v>7</v>
      </c>
      <c r="AH186" s="261" t="s">
        <v>7</v>
      </c>
    </row>
    <row r="187" spans="1:34" s="160" customFormat="1" ht="15" customHeight="1" x14ac:dyDescent="0.4">
      <c r="A187" s="269"/>
      <c r="B187" s="170">
        <v>2100</v>
      </c>
      <c r="C187" s="262">
        <v>262.27532958528042</v>
      </c>
      <c r="D187" s="252">
        <v>280.72254628453635</v>
      </c>
      <c r="E187" s="252">
        <v>308.39337133342036</v>
      </c>
      <c r="F187" s="252">
        <v>338.29054765767074</v>
      </c>
      <c r="G187" s="252">
        <v>365.96137270655453</v>
      </c>
      <c r="H187" s="252">
        <v>393.63219775543865</v>
      </c>
      <c r="I187" s="252">
        <v>421.30302280432244</v>
      </c>
      <c r="J187" s="252">
        <v>448.97384785320634</v>
      </c>
      <c r="K187" s="252">
        <v>476.64467290209029</v>
      </c>
      <c r="L187" s="252">
        <v>504.31549795097425</v>
      </c>
      <c r="M187" s="252">
        <v>531.98632299985809</v>
      </c>
      <c r="N187" s="252">
        <v>561.88349932410858</v>
      </c>
      <c r="O187" s="252">
        <v>589.55432437299237</v>
      </c>
      <c r="P187" s="253">
        <v>617.22514942187627</v>
      </c>
      <c r="Q187" s="253">
        <v>644.89597447076039</v>
      </c>
      <c r="R187" s="253">
        <v>672.56679951964418</v>
      </c>
      <c r="S187" s="253">
        <v>700.23762456852808</v>
      </c>
      <c r="T187" s="253">
        <v>727.90844961741209</v>
      </c>
      <c r="U187" s="253">
        <v>755.57927466629621</v>
      </c>
      <c r="V187" s="252">
        <v>785.47645099054637</v>
      </c>
      <c r="W187" s="252">
        <v>813.14727603943038</v>
      </c>
      <c r="X187" s="253">
        <v>840.81810108831405</v>
      </c>
      <c r="Y187" s="253">
        <v>868.48892613719818</v>
      </c>
      <c r="Z187" s="260" t="s">
        <v>7</v>
      </c>
      <c r="AA187" s="260" t="s">
        <v>7</v>
      </c>
      <c r="AB187" s="261" t="s">
        <v>7</v>
      </c>
      <c r="AC187" s="259" t="s">
        <v>7</v>
      </c>
      <c r="AD187" s="260" t="s">
        <v>7</v>
      </c>
      <c r="AE187" s="260" t="s">
        <v>7</v>
      </c>
      <c r="AF187" s="260" t="s">
        <v>7</v>
      </c>
      <c r="AG187" s="260" t="s">
        <v>7</v>
      </c>
      <c r="AH187" s="261" t="s">
        <v>7</v>
      </c>
    </row>
    <row r="188" spans="1:34" s="160" customFormat="1" ht="15" customHeight="1" x14ac:dyDescent="0.4">
      <c r="A188" s="269"/>
      <c r="B188" s="170">
        <v>2250</v>
      </c>
      <c r="C188" s="262">
        <v>268.55072092563842</v>
      </c>
      <c r="D188" s="252">
        <v>287.4708338737459</v>
      </c>
      <c r="E188" s="252">
        <v>315.85100329590722</v>
      </c>
      <c r="F188" s="252">
        <v>346.61654908453249</v>
      </c>
      <c r="G188" s="252">
        <v>374.99671850669387</v>
      </c>
      <c r="H188" s="252">
        <v>403.37688792885518</v>
      </c>
      <c r="I188" s="252">
        <v>431.75705735101644</v>
      </c>
      <c r="J188" s="252">
        <v>460.1372267731777</v>
      </c>
      <c r="K188" s="252">
        <v>488.51739619533907</v>
      </c>
      <c r="L188" s="252">
        <v>516.89756561750028</v>
      </c>
      <c r="M188" s="252">
        <v>545.27773503966159</v>
      </c>
      <c r="N188" s="252">
        <v>576.04328082828715</v>
      </c>
      <c r="O188" s="252">
        <v>604.42345025044835</v>
      </c>
      <c r="P188" s="253">
        <v>632.80361967260956</v>
      </c>
      <c r="Q188" s="253">
        <v>661.18378909477099</v>
      </c>
      <c r="R188" s="253">
        <v>689.5639585169323</v>
      </c>
      <c r="S188" s="253">
        <v>717.94412793909362</v>
      </c>
      <c r="T188" s="253">
        <v>746.32429736125493</v>
      </c>
      <c r="U188" s="253">
        <v>774.70446678341614</v>
      </c>
      <c r="V188" s="252">
        <v>805.4700125720417</v>
      </c>
      <c r="W188" s="252">
        <v>833.85018199420279</v>
      </c>
      <c r="X188" s="253">
        <v>862.2303514163641</v>
      </c>
      <c r="Y188" s="253">
        <v>890.61052083852542</v>
      </c>
      <c r="Z188" s="260" t="s">
        <v>7</v>
      </c>
      <c r="AA188" s="260" t="s">
        <v>7</v>
      </c>
      <c r="AB188" s="261" t="s">
        <v>7</v>
      </c>
      <c r="AC188" s="259" t="s">
        <v>7</v>
      </c>
      <c r="AD188" s="260" t="s">
        <v>7</v>
      </c>
      <c r="AE188" s="260" t="s">
        <v>7</v>
      </c>
      <c r="AF188" s="260" t="s">
        <v>7</v>
      </c>
      <c r="AG188" s="260" t="s">
        <v>7</v>
      </c>
      <c r="AH188" s="261" t="s">
        <v>7</v>
      </c>
    </row>
    <row r="189" spans="1:34" s="160" customFormat="1" ht="15" customHeight="1" x14ac:dyDescent="0.4">
      <c r="A189" s="269"/>
      <c r="B189" s="170">
        <v>2400</v>
      </c>
      <c r="C189" s="260" t="s">
        <v>7</v>
      </c>
      <c r="D189" s="260" t="s">
        <v>7</v>
      </c>
      <c r="E189" s="260" t="s">
        <v>7</v>
      </c>
      <c r="F189" s="260" t="s">
        <v>7</v>
      </c>
      <c r="G189" s="260" t="s">
        <v>7</v>
      </c>
      <c r="H189" s="260" t="s">
        <v>7</v>
      </c>
      <c r="I189" s="260" t="s">
        <v>7</v>
      </c>
      <c r="J189" s="260" t="s">
        <v>7</v>
      </c>
      <c r="K189" s="260" t="s">
        <v>7</v>
      </c>
      <c r="L189" s="260" t="s">
        <v>7</v>
      </c>
      <c r="M189" s="260" t="s">
        <v>7</v>
      </c>
      <c r="N189" s="260" t="s">
        <v>7</v>
      </c>
      <c r="O189" s="260" t="s">
        <v>7</v>
      </c>
      <c r="P189" s="260" t="s">
        <v>7</v>
      </c>
      <c r="Q189" s="260" t="s">
        <v>7</v>
      </c>
      <c r="R189" s="260" t="s">
        <v>7</v>
      </c>
      <c r="S189" s="260" t="s">
        <v>7</v>
      </c>
      <c r="T189" s="260" t="s">
        <v>7</v>
      </c>
      <c r="U189" s="260" t="s">
        <v>7</v>
      </c>
      <c r="V189" s="260" t="s">
        <v>7</v>
      </c>
      <c r="W189" s="260" t="s">
        <v>7</v>
      </c>
      <c r="X189" s="260" t="s">
        <v>7</v>
      </c>
      <c r="Y189" s="260" t="s">
        <v>7</v>
      </c>
      <c r="Z189" s="260" t="s">
        <v>7</v>
      </c>
      <c r="AA189" s="260" t="s">
        <v>7</v>
      </c>
      <c r="AB189" s="261" t="s">
        <v>7</v>
      </c>
      <c r="AC189" s="259" t="s">
        <v>7</v>
      </c>
      <c r="AD189" s="260" t="s">
        <v>7</v>
      </c>
      <c r="AE189" s="260" t="s">
        <v>7</v>
      </c>
      <c r="AF189" s="260" t="s">
        <v>7</v>
      </c>
      <c r="AG189" s="260" t="s">
        <v>7</v>
      </c>
      <c r="AH189" s="261" t="s">
        <v>7</v>
      </c>
    </row>
    <row r="190" spans="1:34" s="160" customFormat="1" ht="15" customHeight="1" x14ac:dyDescent="0.4">
      <c r="A190" s="269"/>
      <c r="B190" s="170">
        <v>2550</v>
      </c>
      <c r="C190" s="260" t="s">
        <v>7</v>
      </c>
      <c r="D190" s="260" t="s">
        <v>7</v>
      </c>
      <c r="E190" s="260" t="s">
        <v>7</v>
      </c>
      <c r="F190" s="260" t="s">
        <v>7</v>
      </c>
      <c r="G190" s="260" t="s">
        <v>7</v>
      </c>
      <c r="H190" s="260" t="s">
        <v>7</v>
      </c>
      <c r="I190" s="260" t="s">
        <v>7</v>
      </c>
      <c r="J190" s="260" t="s">
        <v>7</v>
      </c>
      <c r="K190" s="260" t="s">
        <v>7</v>
      </c>
      <c r="L190" s="260" t="s">
        <v>7</v>
      </c>
      <c r="M190" s="260" t="s">
        <v>7</v>
      </c>
      <c r="N190" s="260" t="s">
        <v>7</v>
      </c>
      <c r="O190" s="260" t="s">
        <v>7</v>
      </c>
      <c r="P190" s="260" t="s">
        <v>7</v>
      </c>
      <c r="Q190" s="260" t="s">
        <v>7</v>
      </c>
      <c r="R190" s="260" t="s">
        <v>7</v>
      </c>
      <c r="S190" s="260" t="s">
        <v>7</v>
      </c>
      <c r="T190" s="260" t="s">
        <v>7</v>
      </c>
      <c r="U190" s="260" t="s">
        <v>7</v>
      </c>
      <c r="V190" s="260" t="s">
        <v>7</v>
      </c>
      <c r="W190" s="260" t="s">
        <v>7</v>
      </c>
      <c r="X190" s="260" t="s">
        <v>7</v>
      </c>
      <c r="Y190" s="260" t="s">
        <v>7</v>
      </c>
      <c r="Z190" s="260" t="s">
        <v>7</v>
      </c>
      <c r="AA190" s="260" t="s">
        <v>7</v>
      </c>
      <c r="AB190" s="261" t="s">
        <v>7</v>
      </c>
      <c r="AC190" s="259" t="s">
        <v>7</v>
      </c>
      <c r="AD190" s="260" t="s">
        <v>7</v>
      </c>
      <c r="AE190" s="260" t="s">
        <v>7</v>
      </c>
      <c r="AF190" s="260" t="s">
        <v>7</v>
      </c>
      <c r="AG190" s="260" t="s">
        <v>7</v>
      </c>
      <c r="AH190" s="261" t="s">
        <v>7</v>
      </c>
    </row>
    <row r="191" spans="1:34" s="160" customFormat="1" ht="15" customHeight="1" x14ac:dyDescent="0.4">
      <c r="A191" s="269"/>
      <c r="B191" s="170">
        <v>2700</v>
      </c>
      <c r="C191" s="260" t="s">
        <v>7</v>
      </c>
      <c r="D191" s="260" t="s">
        <v>7</v>
      </c>
      <c r="E191" s="260" t="s">
        <v>7</v>
      </c>
      <c r="F191" s="260" t="s">
        <v>7</v>
      </c>
      <c r="G191" s="260" t="s">
        <v>7</v>
      </c>
      <c r="H191" s="260" t="s">
        <v>7</v>
      </c>
      <c r="I191" s="260" t="s">
        <v>7</v>
      </c>
      <c r="J191" s="260" t="s">
        <v>7</v>
      </c>
      <c r="K191" s="260" t="s">
        <v>7</v>
      </c>
      <c r="L191" s="260" t="s">
        <v>7</v>
      </c>
      <c r="M191" s="260" t="s">
        <v>7</v>
      </c>
      <c r="N191" s="260" t="s">
        <v>7</v>
      </c>
      <c r="O191" s="260" t="s">
        <v>7</v>
      </c>
      <c r="P191" s="260" t="s">
        <v>7</v>
      </c>
      <c r="Q191" s="260" t="s">
        <v>7</v>
      </c>
      <c r="R191" s="260" t="s">
        <v>7</v>
      </c>
      <c r="S191" s="260" t="s">
        <v>7</v>
      </c>
      <c r="T191" s="260" t="s">
        <v>7</v>
      </c>
      <c r="U191" s="260" t="s">
        <v>7</v>
      </c>
      <c r="V191" s="260" t="s">
        <v>7</v>
      </c>
      <c r="W191" s="260" t="s">
        <v>7</v>
      </c>
      <c r="X191" s="260" t="s">
        <v>7</v>
      </c>
      <c r="Y191" s="260" t="s">
        <v>7</v>
      </c>
      <c r="Z191" s="260" t="s">
        <v>7</v>
      </c>
      <c r="AA191" s="260" t="s">
        <v>7</v>
      </c>
      <c r="AB191" s="261" t="s">
        <v>7</v>
      </c>
      <c r="AC191" s="259" t="s">
        <v>7</v>
      </c>
      <c r="AD191" s="260" t="s">
        <v>7</v>
      </c>
      <c r="AE191" s="260" t="s">
        <v>7</v>
      </c>
      <c r="AF191" s="260" t="s">
        <v>7</v>
      </c>
      <c r="AG191" s="260" t="s">
        <v>7</v>
      </c>
      <c r="AH191" s="261" t="s">
        <v>7</v>
      </c>
    </row>
    <row r="192" spans="1:34" s="160" customFormat="1" ht="15" customHeight="1" x14ac:dyDescent="0.4">
      <c r="A192" s="269"/>
      <c r="B192" s="170">
        <v>2850</v>
      </c>
      <c r="C192" s="260" t="s">
        <v>7</v>
      </c>
      <c r="D192" s="260" t="s">
        <v>7</v>
      </c>
      <c r="E192" s="260" t="s">
        <v>7</v>
      </c>
      <c r="F192" s="260" t="s">
        <v>7</v>
      </c>
      <c r="G192" s="260" t="s">
        <v>7</v>
      </c>
      <c r="H192" s="260" t="s">
        <v>7</v>
      </c>
      <c r="I192" s="260" t="s">
        <v>7</v>
      </c>
      <c r="J192" s="260" t="s">
        <v>7</v>
      </c>
      <c r="K192" s="260" t="s">
        <v>7</v>
      </c>
      <c r="L192" s="260" t="s">
        <v>7</v>
      </c>
      <c r="M192" s="260" t="s">
        <v>7</v>
      </c>
      <c r="N192" s="260" t="s">
        <v>7</v>
      </c>
      <c r="O192" s="260" t="s">
        <v>7</v>
      </c>
      <c r="P192" s="260" t="s">
        <v>7</v>
      </c>
      <c r="Q192" s="260" t="s">
        <v>7</v>
      </c>
      <c r="R192" s="260" t="s">
        <v>7</v>
      </c>
      <c r="S192" s="260" t="s">
        <v>7</v>
      </c>
      <c r="T192" s="260" t="s">
        <v>7</v>
      </c>
      <c r="U192" s="260" t="s">
        <v>7</v>
      </c>
      <c r="V192" s="260" t="s">
        <v>7</v>
      </c>
      <c r="W192" s="260" t="s">
        <v>7</v>
      </c>
      <c r="X192" s="260" t="s">
        <v>7</v>
      </c>
      <c r="Y192" s="260" t="s">
        <v>7</v>
      </c>
      <c r="Z192" s="260" t="s">
        <v>7</v>
      </c>
      <c r="AA192" s="260" t="s">
        <v>7</v>
      </c>
      <c r="AB192" s="261" t="s">
        <v>7</v>
      </c>
      <c r="AC192" s="259" t="s">
        <v>7</v>
      </c>
      <c r="AD192" s="260" t="s">
        <v>7</v>
      </c>
      <c r="AE192" s="260" t="s">
        <v>7</v>
      </c>
      <c r="AF192" s="260" t="s">
        <v>7</v>
      </c>
      <c r="AG192" s="260" t="s">
        <v>7</v>
      </c>
      <c r="AH192" s="261" t="s">
        <v>7</v>
      </c>
    </row>
    <row r="193" spans="1:34" s="160" customFormat="1" ht="15" customHeight="1" thickBot="1" x14ac:dyDescent="0.45">
      <c r="A193" s="269"/>
      <c r="B193" s="171">
        <v>3000</v>
      </c>
      <c r="C193" s="267" t="s">
        <v>7</v>
      </c>
      <c r="D193" s="267" t="s">
        <v>7</v>
      </c>
      <c r="E193" s="267" t="s">
        <v>7</v>
      </c>
      <c r="F193" s="267" t="s">
        <v>7</v>
      </c>
      <c r="G193" s="267" t="s">
        <v>7</v>
      </c>
      <c r="H193" s="267" t="s">
        <v>7</v>
      </c>
      <c r="I193" s="267" t="s">
        <v>7</v>
      </c>
      <c r="J193" s="267" t="s">
        <v>7</v>
      </c>
      <c r="K193" s="267" t="s">
        <v>7</v>
      </c>
      <c r="L193" s="267" t="s">
        <v>7</v>
      </c>
      <c r="M193" s="267" t="s">
        <v>7</v>
      </c>
      <c r="N193" s="267" t="s">
        <v>7</v>
      </c>
      <c r="O193" s="267" t="s">
        <v>7</v>
      </c>
      <c r="P193" s="267" t="s">
        <v>7</v>
      </c>
      <c r="Q193" s="267" t="s">
        <v>7</v>
      </c>
      <c r="R193" s="267" t="s">
        <v>7</v>
      </c>
      <c r="S193" s="267" t="s">
        <v>7</v>
      </c>
      <c r="T193" s="267" t="s">
        <v>7</v>
      </c>
      <c r="U193" s="267" t="s">
        <v>7</v>
      </c>
      <c r="V193" s="267" t="s">
        <v>7</v>
      </c>
      <c r="W193" s="267" t="s">
        <v>7</v>
      </c>
      <c r="X193" s="267" t="s">
        <v>7</v>
      </c>
      <c r="Y193" s="267" t="s">
        <v>7</v>
      </c>
      <c r="Z193" s="267" t="s">
        <v>7</v>
      </c>
      <c r="AA193" s="267" t="s">
        <v>7</v>
      </c>
      <c r="AB193" s="268" t="s">
        <v>7</v>
      </c>
      <c r="AC193" s="266" t="s">
        <v>7</v>
      </c>
      <c r="AD193" s="267" t="s">
        <v>7</v>
      </c>
      <c r="AE193" s="267" t="s">
        <v>7</v>
      </c>
      <c r="AF193" s="267" t="s">
        <v>7</v>
      </c>
      <c r="AG193" s="267" t="s">
        <v>7</v>
      </c>
      <c r="AH193" s="268" t="s">
        <v>7</v>
      </c>
    </row>
    <row r="194" spans="1:34" s="184" customFormat="1" x14ac:dyDescent="0.4"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</row>
    <row r="195" spans="1:34" s="160" customFormat="1" ht="45.9" thickBot="1" x14ac:dyDescent="1.1000000000000001">
      <c r="A195" s="269"/>
      <c r="B195" s="161" t="s">
        <v>47</v>
      </c>
      <c r="C195" s="161"/>
      <c r="D195" s="129"/>
      <c r="E195" s="129"/>
      <c r="F195" s="129"/>
      <c r="G195" s="129"/>
      <c r="H195" s="98"/>
      <c r="I195" s="130"/>
      <c r="J195" s="130"/>
      <c r="K195" s="130"/>
      <c r="L195" s="129"/>
      <c r="M195" s="129"/>
      <c r="N195" s="172"/>
      <c r="O195" s="177"/>
      <c r="P195" s="129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78"/>
      <c r="AB195" s="143"/>
      <c r="AC195" s="143"/>
      <c r="AD195" s="143"/>
      <c r="AE195" s="143"/>
      <c r="AF195" s="143"/>
      <c r="AG195" s="143"/>
      <c r="AH195" s="143"/>
    </row>
    <row r="196" spans="1:34" s="160" customFormat="1" ht="15.9" thickBot="1" x14ac:dyDescent="0.45">
      <c r="A196" s="269"/>
      <c r="B196" s="165"/>
      <c r="C196" s="166">
        <v>800</v>
      </c>
      <c r="D196" s="135">
        <v>900</v>
      </c>
      <c r="E196" s="136">
        <v>1050</v>
      </c>
      <c r="F196" s="135">
        <v>1200</v>
      </c>
      <c r="G196" s="136">
        <v>1350</v>
      </c>
      <c r="H196" s="135">
        <v>1500</v>
      </c>
      <c r="I196" s="136">
        <v>1650</v>
      </c>
      <c r="J196" s="135">
        <v>1800</v>
      </c>
      <c r="K196" s="136">
        <v>1950</v>
      </c>
      <c r="L196" s="135">
        <v>2100</v>
      </c>
      <c r="M196" s="136">
        <v>2250</v>
      </c>
      <c r="N196" s="135">
        <v>2400</v>
      </c>
      <c r="O196" s="136">
        <v>2550</v>
      </c>
      <c r="P196" s="135">
        <v>2700</v>
      </c>
      <c r="Q196" s="136">
        <v>2850</v>
      </c>
      <c r="R196" s="135">
        <v>3000</v>
      </c>
      <c r="S196" s="136">
        <v>3150</v>
      </c>
      <c r="T196" s="135">
        <v>3300</v>
      </c>
      <c r="U196" s="136">
        <v>3450</v>
      </c>
      <c r="V196" s="135">
        <v>3600</v>
      </c>
      <c r="W196" s="136">
        <v>3750</v>
      </c>
      <c r="X196" s="135">
        <v>3900</v>
      </c>
      <c r="Y196" s="136">
        <v>4050</v>
      </c>
      <c r="Z196" s="135">
        <v>4200</v>
      </c>
      <c r="AA196" s="136">
        <v>4350</v>
      </c>
      <c r="AB196" s="167">
        <v>4500</v>
      </c>
      <c r="AC196" s="135">
        <v>4650</v>
      </c>
      <c r="AD196" s="136">
        <v>4800</v>
      </c>
      <c r="AE196" s="136">
        <v>4950</v>
      </c>
      <c r="AF196" s="135">
        <v>5100</v>
      </c>
      <c r="AG196" s="136">
        <v>5250</v>
      </c>
      <c r="AH196" s="137">
        <v>5400</v>
      </c>
    </row>
    <row r="197" spans="1:34" s="160" customFormat="1" ht="15.45" x14ac:dyDescent="0.4">
      <c r="A197" s="269"/>
      <c r="B197" s="169">
        <v>900</v>
      </c>
      <c r="C197" s="257">
        <v>229.75864328897717</v>
      </c>
      <c r="D197" s="249">
        <v>245.39243935936543</v>
      </c>
      <c r="E197" s="249">
        <v>268.84313346494775</v>
      </c>
      <c r="F197" s="249">
        <v>293.24797811711579</v>
      </c>
      <c r="G197" s="249">
        <v>316.69867222269806</v>
      </c>
      <c r="H197" s="249">
        <v>340.14936632828039</v>
      </c>
      <c r="I197" s="249">
        <v>363.60006043386284</v>
      </c>
      <c r="J197" s="249">
        <v>387.05075453944511</v>
      </c>
      <c r="K197" s="249">
        <v>410.50144864502744</v>
      </c>
      <c r="L197" s="249">
        <v>433.95214275060988</v>
      </c>
      <c r="M197" s="249">
        <v>457.40283685619215</v>
      </c>
      <c r="N197" s="249">
        <v>481.80768150836013</v>
      </c>
      <c r="O197" s="249">
        <v>505.25837561394246</v>
      </c>
      <c r="P197" s="250">
        <v>528.7090697195249</v>
      </c>
      <c r="Q197" s="250">
        <v>552.15976382510723</v>
      </c>
      <c r="R197" s="250">
        <v>575.61045793068945</v>
      </c>
      <c r="S197" s="250">
        <v>599.06115203627189</v>
      </c>
      <c r="T197" s="250">
        <v>622.51184614185445</v>
      </c>
      <c r="U197" s="250">
        <v>645.96254024743678</v>
      </c>
      <c r="V197" s="249">
        <v>670.36738489960476</v>
      </c>
      <c r="W197" s="249">
        <v>693.81807900518709</v>
      </c>
      <c r="X197" s="250">
        <v>717.26877311076919</v>
      </c>
      <c r="Y197" s="250">
        <v>740.71946721635152</v>
      </c>
      <c r="Z197" s="284">
        <v>764.03250000000003</v>
      </c>
      <c r="AA197" s="284">
        <v>787.18500000000006</v>
      </c>
      <c r="AB197" s="285">
        <v>811.44</v>
      </c>
      <c r="AC197" s="286">
        <v>834.59250000000009</v>
      </c>
      <c r="AD197" s="284">
        <v>858.84750000000008</v>
      </c>
      <c r="AE197" s="284">
        <v>882</v>
      </c>
      <c r="AF197" s="284">
        <v>906.25500000000011</v>
      </c>
      <c r="AG197" s="284">
        <v>929.40750000000014</v>
      </c>
      <c r="AH197" s="285">
        <v>952.56000000000006</v>
      </c>
    </row>
    <row r="198" spans="1:34" s="160" customFormat="1" ht="15.45" x14ac:dyDescent="0.4">
      <c r="A198" s="269"/>
      <c r="B198" s="170">
        <v>1050</v>
      </c>
      <c r="C198" s="262">
        <v>236.03403462933505</v>
      </c>
      <c r="D198" s="252">
        <v>252.14072694857487</v>
      </c>
      <c r="E198" s="252">
        <v>276.30076542743461</v>
      </c>
      <c r="F198" s="252">
        <v>301.5739795439776</v>
      </c>
      <c r="G198" s="252">
        <v>325.73401802283735</v>
      </c>
      <c r="H198" s="252">
        <v>349.89405650169704</v>
      </c>
      <c r="I198" s="252">
        <v>374.05409498055678</v>
      </c>
      <c r="J198" s="252">
        <v>398.21413345941647</v>
      </c>
      <c r="K198" s="252">
        <v>422.37417193827633</v>
      </c>
      <c r="L198" s="252">
        <v>446.53421041713597</v>
      </c>
      <c r="M198" s="252">
        <v>470.69424889599571</v>
      </c>
      <c r="N198" s="252">
        <v>495.9674630125387</v>
      </c>
      <c r="O198" s="252">
        <v>520.12750149139845</v>
      </c>
      <c r="P198" s="253">
        <v>544.28753997025808</v>
      </c>
      <c r="Q198" s="253">
        <v>568.44757844911805</v>
      </c>
      <c r="R198" s="253">
        <v>592.6076169279778</v>
      </c>
      <c r="S198" s="253">
        <v>616.76765540683743</v>
      </c>
      <c r="T198" s="253">
        <v>640.92769388569718</v>
      </c>
      <c r="U198" s="253">
        <v>665.08773236455693</v>
      </c>
      <c r="V198" s="252">
        <v>690.36094648109975</v>
      </c>
      <c r="W198" s="252">
        <v>714.52098495995961</v>
      </c>
      <c r="X198" s="253">
        <v>738.68102343881924</v>
      </c>
      <c r="Y198" s="253">
        <v>762.8410619176791</v>
      </c>
      <c r="Z198" s="284">
        <v>787.18500000000006</v>
      </c>
      <c r="AA198" s="284">
        <v>811.44</v>
      </c>
      <c r="AB198" s="285">
        <v>835.69500000000005</v>
      </c>
      <c r="AC198" s="286">
        <v>859.95</v>
      </c>
      <c r="AD198" s="284">
        <v>884.20500000000004</v>
      </c>
      <c r="AE198" s="284">
        <v>908.46</v>
      </c>
      <c r="AF198" s="284">
        <v>932.71500000000015</v>
      </c>
      <c r="AG198" s="284">
        <v>956.97000000000014</v>
      </c>
      <c r="AH198" s="285">
        <v>981.22500000000002</v>
      </c>
    </row>
    <row r="199" spans="1:34" s="160" customFormat="1" ht="15.45" x14ac:dyDescent="0.4">
      <c r="A199" s="269"/>
      <c r="B199" s="170">
        <v>1200</v>
      </c>
      <c r="C199" s="262">
        <v>242.30942596969297</v>
      </c>
      <c r="D199" s="252">
        <v>258.88901453778436</v>
      </c>
      <c r="E199" s="252">
        <v>283.75839738992153</v>
      </c>
      <c r="F199" s="252">
        <v>309.89998097083935</v>
      </c>
      <c r="G199" s="252">
        <v>334.76936382297657</v>
      </c>
      <c r="H199" s="252">
        <v>359.63874667511368</v>
      </c>
      <c r="I199" s="252">
        <v>384.5081295272509</v>
      </c>
      <c r="J199" s="252">
        <v>409.37751237938801</v>
      </c>
      <c r="K199" s="252">
        <v>434.24689523152512</v>
      </c>
      <c r="L199" s="252">
        <v>459.11627808366228</v>
      </c>
      <c r="M199" s="252">
        <v>483.98566093579927</v>
      </c>
      <c r="N199" s="252">
        <v>510.12724451671727</v>
      </c>
      <c r="O199" s="252">
        <v>534.99662736885432</v>
      </c>
      <c r="P199" s="253">
        <v>559.86601022099137</v>
      </c>
      <c r="Q199" s="253">
        <v>584.73539307312865</v>
      </c>
      <c r="R199" s="253">
        <v>609.60477592526581</v>
      </c>
      <c r="S199" s="253">
        <v>634.47415877740286</v>
      </c>
      <c r="T199" s="253">
        <v>659.34354162954014</v>
      </c>
      <c r="U199" s="253">
        <v>684.21292448167731</v>
      </c>
      <c r="V199" s="252">
        <v>710.35450806259496</v>
      </c>
      <c r="W199" s="252">
        <v>735.22389091473224</v>
      </c>
      <c r="X199" s="253">
        <v>760.0932737668694</v>
      </c>
      <c r="Y199" s="253">
        <v>784.96265661900645</v>
      </c>
      <c r="Z199" s="284">
        <v>810.33750000000009</v>
      </c>
      <c r="AA199" s="284">
        <v>834.59250000000009</v>
      </c>
      <c r="AB199" s="285">
        <v>859.95</v>
      </c>
      <c r="AC199" s="286">
        <v>884.20500000000004</v>
      </c>
      <c r="AD199" s="284">
        <v>910.66500000000008</v>
      </c>
      <c r="AE199" s="284">
        <v>934.92000000000019</v>
      </c>
      <c r="AF199" s="284">
        <v>960.27750000000015</v>
      </c>
      <c r="AG199" s="284">
        <v>985.6350000000001</v>
      </c>
      <c r="AH199" s="285">
        <v>1009.8900000000001</v>
      </c>
    </row>
    <row r="200" spans="1:34" s="160" customFormat="1" ht="15.45" x14ac:dyDescent="0.4">
      <c r="A200" s="269"/>
      <c r="B200" s="170">
        <v>1350</v>
      </c>
      <c r="C200" s="262">
        <v>248.58481731005091</v>
      </c>
      <c r="D200" s="252">
        <v>265.63730212699386</v>
      </c>
      <c r="E200" s="252">
        <v>291.21602935240833</v>
      </c>
      <c r="F200" s="252">
        <v>318.22598239770139</v>
      </c>
      <c r="G200" s="252">
        <v>343.8047096231158</v>
      </c>
      <c r="H200" s="252">
        <v>369.38343684853032</v>
      </c>
      <c r="I200" s="252">
        <v>394.96216407394485</v>
      </c>
      <c r="J200" s="252">
        <v>420.54089129935937</v>
      </c>
      <c r="K200" s="252">
        <v>446.11961852477378</v>
      </c>
      <c r="L200" s="252">
        <v>471.69834575018837</v>
      </c>
      <c r="M200" s="252">
        <v>497.27707297560289</v>
      </c>
      <c r="N200" s="252">
        <v>524.28702602089572</v>
      </c>
      <c r="O200" s="252">
        <v>549.86575324631031</v>
      </c>
      <c r="P200" s="253">
        <v>575.44448047172477</v>
      </c>
      <c r="Q200" s="253">
        <v>601.02320769713936</v>
      </c>
      <c r="R200" s="253">
        <v>626.60193492255371</v>
      </c>
      <c r="S200" s="253">
        <v>652.18066214796829</v>
      </c>
      <c r="T200" s="253">
        <v>677.75938937338299</v>
      </c>
      <c r="U200" s="253">
        <v>703.33811659879734</v>
      </c>
      <c r="V200" s="252">
        <v>730.34806964409017</v>
      </c>
      <c r="W200" s="252">
        <v>755.92679686950487</v>
      </c>
      <c r="X200" s="253">
        <v>781.50552409491911</v>
      </c>
      <c r="Y200" s="253">
        <v>807.08425132033358</v>
      </c>
      <c r="Z200" s="284">
        <v>832.38750000000005</v>
      </c>
      <c r="AA200" s="284">
        <v>857.74500000000012</v>
      </c>
      <c r="AB200" s="285">
        <v>884.20500000000004</v>
      </c>
      <c r="AC200" s="286">
        <v>909.5625</v>
      </c>
      <c r="AD200" s="284">
        <v>936.02250000000004</v>
      </c>
      <c r="AE200" s="284">
        <v>962.48250000000019</v>
      </c>
      <c r="AF200" s="284">
        <v>987.84000000000015</v>
      </c>
      <c r="AG200" s="284">
        <v>1013.1975000000001</v>
      </c>
      <c r="AH200" s="285">
        <v>1038.5550000000001</v>
      </c>
    </row>
    <row r="201" spans="1:34" s="160" customFormat="1" ht="15.45" x14ac:dyDescent="0.4">
      <c r="A201" s="269"/>
      <c r="B201" s="170">
        <v>1500</v>
      </c>
      <c r="C201" s="262">
        <v>254.86020865040882</v>
      </c>
      <c r="D201" s="252">
        <v>272.38558971620341</v>
      </c>
      <c r="E201" s="252">
        <v>298.6736613148953</v>
      </c>
      <c r="F201" s="252">
        <v>326.55198382456319</v>
      </c>
      <c r="G201" s="252">
        <v>352.84005542325502</v>
      </c>
      <c r="H201" s="252">
        <v>379.12812702194697</v>
      </c>
      <c r="I201" s="252">
        <v>405.4161986206388</v>
      </c>
      <c r="J201" s="252">
        <v>431.70427021933074</v>
      </c>
      <c r="K201" s="252">
        <v>457.99234181802274</v>
      </c>
      <c r="L201" s="252">
        <v>484.28041341671451</v>
      </c>
      <c r="M201" s="252">
        <v>510.56848501540634</v>
      </c>
      <c r="N201" s="252">
        <v>538.44680752507429</v>
      </c>
      <c r="O201" s="252">
        <v>564.73487912376629</v>
      </c>
      <c r="P201" s="253">
        <v>591.02295072245806</v>
      </c>
      <c r="Q201" s="253">
        <v>617.31102232115006</v>
      </c>
      <c r="R201" s="253">
        <v>643.59909391984206</v>
      </c>
      <c r="S201" s="253">
        <v>669.88716551853372</v>
      </c>
      <c r="T201" s="253">
        <v>696.17523711722572</v>
      </c>
      <c r="U201" s="253">
        <v>722.46330871591761</v>
      </c>
      <c r="V201" s="252">
        <v>750.34163122558539</v>
      </c>
      <c r="W201" s="252">
        <v>776.62970282427739</v>
      </c>
      <c r="X201" s="253">
        <v>802.91777442296927</v>
      </c>
      <c r="Y201" s="253">
        <v>829.20584602166116</v>
      </c>
      <c r="Z201" s="284">
        <v>855.54000000000008</v>
      </c>
      <c r="AA201" s="284">
        <v>882</v>
      </c>
      <c r="AB201" s="285">
        <v>908.46</v>
      </c>
      <c r="AC201" s="286">
        <v>933.81750000000011</v>
      </c>
      <c r="AD201" s="284">
        <v>962.48250000000019</v>
      </c>
      <c r="AE201" s="284">
        <v>988.94250000000011</v>
      </c>
      <c r="AF201" s="284">
        <v>1014.3000000000001</v>
      </c>
      <c r="AG201" s="284">
        <v>1040.76</v>
      </c>
      <c r="AH201" s="285">
        <v>1067.22</v>
      </c>
    </row>
    <row r="202" spans="1:34" s="160" customFormat="1" ht="15" customHeight="1" x14ac:dyDescent="0.4">
      <c r="A202" s="269"/>
      <c r="B202" s="170">
        <v>1650</v>
      </c>
      <c r="C202" s="262">
        <v>261.13559999076671</v>
      </c>
      <c r="D202" s="252">
        <v>279.13387730541285</v>
      </c>
      <c r="E202" s="252">
        <v>306.13129327738221</v>
      </c>
      <c r="F202" s="252">
        <v>334.87798525142506</v>
      </c>
      <c r="G202" s="252">
        <v>361.87540122339431</v>
      </c>
      <c r="H202" s="252">
        <v>388.87281719536361</v>
      </c>
      <c r="I202" s="252">
        <v>415.87023316733291</v>
      </c>
      <c r="J202" s="252">
        <v>442.86764913930216</v>
      </c>
      <c r="K202" s="252">
        <v>469.86506511127146</v>
      </c>
      <c r="L202" s="252">
        <v>496.86248108324071</v>
      </c>
      <c r="M202" s="252">
        <v>523.85989705521001</v>
      </c>
      <c r="N202" s="252">
        <v>552.60658902925286</v>
      </c>
      <c r="O202" s="252">
        <v>579.60400500122228</v>
      </c>
      <c r="P202" s="253">
        <v>606.60142097319147</v>
      </c>
      <c r="Q202" s="253">
        <v>633.59883694516066</v>
      </c>
      <c r="R202" s="253">
        <v>660.59625291713007</v>
      </c>
      <c r="S202" s="253">
        <v>687.59366888909926</v>
      </c>
      <c r="T202" s="253">
        <v>714.59108486106845</v>
      </c>
      <c r="U202" s="253">
        <v>741.58850083303764</v>
      </c>
      <c r="V202" s="252">
        <v>770.3351928070806</v>
      </c>
      <c r="W202" s="252">
        <v>797.33260877905002</v>
      </c>
      <c r="X202" s="253">
        <v>824.33002475101921</v>
      </c>
      <c r="Y202" s="253">
        <v>851.32744072298851</v>
      </c>
      <c r="Z202" s="284">
        <v>878.69250000000011</v>
      </c>
      <c r="AA202" s="284">
        <v>905.15250000000015</v>
      </c>
      <c r="AB202" s="285">
        <v>932.71500000000015</v>
      </c>
      <c r="AC202" s="286">
        <v>959.17500000000007</v>
      </c>
      <c r="AD202" s="284">
        <v>987.84000000000015</v>
      </c>
      <c r="AE202" s="284">
        <v>1015.4025000000001</v>
      </c>
      <c r="AF202" s="284">
        <v>1041.8625</v>
      </c>
      <c r="AG202" s="284">
        <v>1069.425</v>
      </c>
      <c r="AH202" s="285">
        <v>1095.885</v>
      </c>
    </row>
    <row r="203" spans="1:34" s="160" customFormat="1" ht="15" customHeight="1" x14ac:dyDescent="0.4">
      <c r="A203" s="269"/>
      <c r="B203" s="170">
        <v>1800</v>
      </c>
      <c r="C203" s="262">
        <v>267.41099133112465</v>
      </c>
      <c r="D203" s="252">
        <v>285.88216489462241</v>
      </c>
      <c r="E203" s="252">
        <v>313.58892523986907</v>
      </c>
      <c r="F203" s="252">
        <v>343.20398667828704</v>
      </c>
      <c r="G203" s="252">
        <v>370.91074702353353</v>
      </c>
      <c r="H203" s="252">
        <v>398.6175073687802</v>
      </c>
      <c r="I203" s="252">
        <v>426.32426771402686</v>
      </c>
      <c r="J203" s="252">
        <v>454.03102805927358</v>
      </c>
      <c r="K203" s="252">
        <v>481.73778840452024</v>
      </c>
      <c r="L203" s="252">
        <v>509.44454874976685</v>
      </c>
      <c r="M203" s="252">
        <v>537.15130909501352</v>
      </c>
      <c r="N203" s="252">
        <v>566.76637053343143</v>
      </c>
      <c r="O203" s="252">
        <v>594.47313087867826</v>
      </c>
      <c r="P203" s="253">
        <v>622.17989122392476</v>
      </c>
      <c r="Q203" s="253">
        <v>649.88665156917125</v>
      </c>
      <c r="R203" s="253">
        <v>677.59341191441797</v>
      </c>
      <c r="S203" s="253">
        <v>705.30017225966458</v>
      </c>
      <c r="T203" s="253">
        <v>733.00693260491141</v>
      </c>
      <c r="U203" s="253">
        <v>760.71369295015791</v>
      </c>
      <c r="V203" s="252">
        <v>790.32875438857593</v>
      </c>
      <c r="W203" s="252">
        <v>818.03551473382265</v>
      </c>
      <c r="X203" s="253">
        <v>845.74227507906926</v>
      </c>
      <c r="Y203" s="253">
        <v>873.44903542431575</v>
      </c>
      <c r="Z203" s="284">
        <v>900.74250000000006</v>
      </c>
      <c r="AA203" s="284">
        <v>929.40750000000014</v>
      </c>
      <c r="AB203" s="285">
        <v>956.97000000000014</v>
      </c>
      <c r="AC203" s="286">
        <v>984.53250000000014</v>
      </c>
      <c r="AD203" s="284">
        <v>1014.3000000000001</v>
      </c>
      <c r="AE203" s="284">
        <v>1041.8625</v>
      </c>
      <c r="AF203" s="284">
        <v>1069.425</v>
      </c>
      <c r="AG203" s="284">
        <v>1096.9875</v>
      </c>
      <c r="AH203" s="285">
        <v>1124.55</v>
      </c>
    </row>
    <row r="204" spans="1:34" s="160" customFormat="1" ht="15" customHeight="1" x14ac:dyDescent="0.4">
      <c r="A204" s="269"/>
      <c r="B204" s="170">
        <v>1950</v>
      </c>
      <c r="C204" s="262">
        <v>273.68638267148253</v>
      </c>
      <c r="D204" s="252">
        <v>292.6304524838319</v>
      </c>
      <c r="E204" s="252">
        <v>321.04655720235587</v>
      </c>
      <c r="F204" s="252">
        <v>351.52998810514873</v>
      </c>
      <c r="G204" s="252">
        <v>379.94609282367287</v>
      </c>
      <c r="H204" s="252">
        <v>408.36219754219684</v>
      </c>
      <c r="I204" s="252">
        <v>436.77830226072092</v>
      </c>
      <c r="J204" s="252">
        <v>465.19440697924489</v>
      </c>
      <c r="K204" s="252">
        <v>493.61051169776908</v>
      </c>
      <c r="L204" s="252">
        <v>522.02661641629311</v>
      </c>
      <c r="M204" s="252">
        <v>550.44272113481725</v>
      </c>
      <c r="N204" s="252">
        <v>580.92615203760988</v>
      </c>
      <c r="O204" s="252">
        <v>609.34225675613391</v>
      </c>
      <c r="P204" s="253">
        <v>637.75836147465805</v>
      </c>
      <c r="Q204" s="253">
        <v>666.17446619318207</v>
      </c>
      <c r="R204" s="253">
        <v>694.5905709117061</v>
      </c>
      <c r="S204" s="253">
        <v>723.00667563023012</v>
      </c>
      <c r="T204" s="253">
        <v>751.42278034875426</v>
      </c>
      <c r="U204" s="253">
        <v>779.83888506727817</v>
      </c>
      <c r="V204" s="252">
        <v>810.32231597007114</v>
      </c>
      <c r="W204" s="252">
        <v>838.73842068859506</v>
      </c>
      <c r="X204" s="253">
        <v>867.15452540711931</v>
      </c>
      <c r="Y204" s="253">
        <v>895.57063012564311</v>
      </c>
      <c r="Z204" s="284">
        <v>923.8950000000001</v>
      </c>
      <c r="AA204" s="284">
        <v>952.56000000000006</v>
      </c>
      <c r="AB204" s="285">
        <v>981.22500000000002</v>
      </c>
      <c r="AC204" s="286">
        <v>1008.7875</v>
      </c>
      <c r="AD204" s="284">
        <v>1039.6575</v>
      </c>
      <c r="AE204" s="284">
        <v>1068.3225</v>
      </c>
      <c r="AF204" s="284">
        <v>1096.9875</v>
      </c>
      <c r="AG204" s="284">
        <v>1124.55</v>
      </c>
      <c r="AH204" s="285">
        <v>1153.2149999999999</v>
      </c>
    </row>
    <row r="205" spans="1:34" s="160" customFormat="1" ht="15" customHeight="1" x14ac:dyDescent="0.4">
      <c r="A205" s="269"/>
      <c r="B205" s="170">
        <v>2100</v>
      </c>
      <c r="C205" s="262">
        <v>279.96177401184042</v>
      </c>
      <c r="D205" s="252">
        <v>299.37874007304134</v>
      </c>
      <c r="E205" s="252">
        <v>328.5041891648429</v>
      </c>
      <c r="F205" s="252">
        <v>359.85598953201065</v>
      </c>
      <c r="G205" s="252">
        <v>388.9814386238121</v>
      </c>
      <c r="H205" s="252">
        <v>418.10688771561354</v>
      </c>
      <c r="I205" s="252">
        <v>447.23233680741492</v>
      </c>
      <c r="J205" s="252">
        <v>476.35778589921637</v>
      </c>
      <c r="K205" s="252">
        <v>505.48323499101787</v>
      </c>
      <c r="L205" s="252">
        <v>534.60868408281931</v>
      </c>
      <c r="M205" s="252">
        <v>563.73413317462064</v>
      </c>
      <c r="N205" s="252">
        <v>595.08593354178856</v>
      </c>
      <c r="O205" s="252">
        <v>624.21138263359001</v>
      </c>
      <c r="P205" s="253">
        <v>653.33683172539133</v>
      </c>
      <c r="Q205" s="253">
        <v>682.46228081719278</v>
      </c>
      <c r="R205" s="253">
        <v>711.58772990899422</v>
      </c>
      <c r="S205" s="253">
        <v>740.71317900079555</v>
      </c>
      <c r="T205" s="253">
        <v>769.83862809259722</v>
      </c>
      <c r="U205" s="253">
        <v>798.96407718439866</v>
      </c>
      <c r="V205" s="252">
        <v>830.31587755156625</v>
      </c>
      <c r="W205" s="252">
        <v>859.4413266433678</v>
      </c>
      <c r="X205" s="253">
        <v>888.56677573516924</v>
      </c>
      <c r="Y205" s="253">
        <v>917.6922248269708</v>
      </c>
      <c r="Z205" s="284">
        <v>947.04750000000013</v>
      </c>
      <c r="AA205" s="284">
        <v>975.71250000000009</v>
      </c>
      <c r="AB205" s="285">
        <v>1005.48</v>
      </c>
      <c r="AC205" s="286">
        <v>1034.1450000000002</v>
      </c>
      <c r="AD205" s="284">
        <v>1065.0150000000001</v>
      </c>
      <c r="AE205" s="284">
        <v>1094.7825000000003</v>
      </c>
      <c r="AF205" s="284">
        <v>1123.4475</v>
      </c>
      <c r="AG205" s="284">
        <v>1153.2149999999999</v>
      </c>
      <c r="AH205" s="285">
        <v>1181.8800000000001</v>
      </c>
    </row>
    <row r="206" spans="1:34" s="160" customFormat="1" ht="15" customHeight="1" x14ac:dyDescent="0.4">
      <c r="A206" s="269"/>
      <c r="B206" s="170">
        <v>2250</v>
      </c>
      <c r="C206" s="262">
        <v>286.23716535219836</v>
      </c>
      <c r="D206" s="252">
        <v>306.1270276622509</v>
      </c>
      <c r="E206" s="252">
        <v>335.9618211273297</v>
      </c>
      <c r="F206" s="252">
        <v>368.18199095887257</v>
      </c>
      <c r="G206" s="252">
        <v>398.01678442395138</v>
      </c>
      <c r="H206" s="252">
        <v>427.85157788903018</v>
      </c>
      <c r="I206" s="252">
        <v>457.68637135410899</v>
      </c>
      <c r="J206" s="252">
        <v>487.52116481918785</v>
      </c>
      <c r="K206" s="252">
        <v>517.35595828426653</v>
      </c>
      <c r="L206" s="252">
        <v>547.19075174934551</v>
      </c>
      <c r="M206" s="252">
        <v>577.02554521442426</v>
      </c>
      <c r="N206" s="252">
        <v>609.24571504596702</v>
      </c>
      <c r="O206" s="252">
        <v>639.08050851104588</v>
      </c>
      <c r="P206" s="253">
        <v>668.91530197612462</v>
      </c>
      <c r="Q206" s="253">
        <v>698.7500954412036</v>
      </c>
      <c r="R206" s="253">
        <v>728.58488890628234</v>
      </c>
      <c r="S206" s="253">
        <v>758.41968237136109</v>
      </c>
      <c r="T206" s="253">
        <v>788.25447583643995</v>
      </c>
      <c r="U206" s="253">
        <v>818.08926930151858</v>
      </c>
      <c r="V206" s="252">
        <v>850.30943913306135</v>
      </c>
      <c r="W206" s="252">
        <v>880.14423259814043</v>
      </c>
      <c r="X206" s="253">
        <v>909.97902606321929</v>
      </c>
      <c r="Y206" s="253">
        <v>939.81381952829804</v>
      </c>
      <c r="Z206" s="284">
        <v>969.09750000000008</v>
      </c>
      <c r="AA206" s="284">
        <v>999.96750000000009</v>
      </c>
      <c r="AB206" s="285">
        <v>1029.7350000000001</v>
      </c>
      <c r="AC206" s="286">
        <v>1059.5025000000001</v>
      </c>
      <c r="AD206" s="284">
        <v>1091.4750000000001</v>
      </c>
      <c r="AE206" s="284">
        <v>1121.2425000000003</v>
      </c>
      <c r="AF206" s="284">
        <v>1151.01</v>
      </c>
      <c r="AG206" s="284">
        <v>1180.7774999999999</v>
      </c>
      <c r="AH206" s="285">
        <v>1210.5450000000001</v>
      </c>
    </row>
    <row r="207" spans="1:34" s="160" customFormat="1" ht="15" customHeight="1" x14ac:dyDescent="0.4">
      <c r="A207" s="269"/>
      <c r="B207" s="170">
        <v>2400</v>
      </c>
      <c r="C207" s="284">
        <v>292.16250000000002</v>
      </c>
      <c r="D207" s="284">
        <v>313.11</v>
      </c>
      <c r="E207" s="284">
        <v>342.87750000000005</v>
      </c>
      <c r="F207" s="284">
        <v>377.05500000000006</v>
      </c>
      <c r="G207" s="284">
        <v>406.82249999999999</v>
      </c>
      <c r="H207" s="284">
        <v>437.69250000000005</v>
      </c>
      <c r="I207" s="284">
        <v>468.5625</v>
      </c>
      <c r="J207" s="284">
        <v>498.33000000000004</v>
      </c>
      <c r="K207" s="284">
        <v>529.20000000000005</v>
      </c>
      <c r="L207" s="284">
        <v>560.07000000000005</v>
      </c>
      <c r="M207" s="284">
        <v>589.83749999999998</v>
      </c>
      <c r="N207" s="284">
        <v>622.91250000000002</v>
      </c>
      <c r="O207" s="284">
        <v>653.78250000000003</v>
      </c>
      <c r="P207" s="284">
        <v>684.65250000000015</v>
      </c>
      <c r="Q207" s="284">
        <v>715.52250000000004</v>
      </c>
      <c r="R207" s="284">
        <v>745.29000000000008</v>
      </c>
      <c r="S207" s="284">
        <v>776.16000000000008</v>
      </c>
      <c r="T207" s="284">
        <v>807.03000000000009</v>
      </c>
      <c r="U207" s="284">
        <v>836.79750000000013</v>
      </c>
      <c r="V207" s="284">
        <v>869.87250000000006</v>
      </c>
      <c r="W207" s="284">
        <v>900.74250000000006</v>
      </c>
      <c r="X207" s="284">
        <v>931.61250000000007</v>
      </c>
      <c r="Y207" s="284">
        <v>962.48250000000019</v>
      </c>
      <c r="Z207" s="284">
        <v>992.25</v>
      </c>
      <c r="AA207" s="284">
        <v>1023.1200000000001</v>
      </c>
      <c r="AB207" s="285">
        <v>1053.99</v>
      </c>
      <c r="AC207" s="286">
        <v>1083.7575000000002</v>
      </c>
      <c r="AD207" s="284">
        <v>1116.8325000000002</v>
      </c>
      <c r="AE207" s="284">
        <v>1147.7025000000001</v>
      </c>
      <c r="AF207" s="284">
        <v>1178.5725</v>
      </c>
      <c r="AG207" s="284">
        <v>1208.3399999999999</v>
      </c>
      <c r="AH207" s="285">
        <v>1239.21</v>
      </c>
    </row>
    <row r="208" spans="1:34" s="160" customFormat="1" ht="15" customHeight="1" x14ac:dyDescent="0.4">
      <c r="A208" s="269"/>
      <c r="B208" s="170">
        <v>2550</v>
      </c>
      <c r="C208" s="284">
        <v>298.77750000000003</v>
      </c>
      <c r="D208" s="284">
        <v>319.72500000000002</v>
      </c>
      <c r="E208" s="284">
        <v>350.59500000000003</v>
      </c>
      <c r="F208" s="284">
        <v>384.77249999999998</v>
      </c>
      <c r="G208" s="284">
        <v>415.64250000000004</v>
      </c>
      <c r="H208" s="284">
        <v>447.61500000000001</v>
      </c>
      <c r="I208" s="284">
        <v>478.48500000000007</v>
      </c>
      <c r="J208" s="284">
        <v>509.35500000000002</v>
      </c>
      <c r="K208" s="284">
        <v>541.3275000000001</v>
      </c>
      <c r="L208" s="284">
        <v>572.1975000000001</v>
      </c>
      <c r="M208" s="284">
        <v>603.0675</v>
      </c>
      <c r="N208" s="284">
        <v>637.245</v>
      </c>
      <c r="O208" s="284">
        <v>669.21750000000009</v>
      </c>
      <c r="P208" s="284">
        <v>700.08749999999998</v>
      </c>
      <c r="Q208" s="284">
        <v>730.95749999999998</v>
      </c>
      <c r="R208" s="284">
        <v>762.93000000000006</v>
      </c>
      <c r="S208" s="284">
        <v>793.80000000000007</v>
      </c>
      <c r="T208" s="284">
        <v>824.67</v>
      </c>
      <c r="U208" s="284">
        <v>856.64250000000004</v>
      </c>
      <c r="V208" s="284">
        <v>890.82000000000016</v>
      </c>
      <c r="W208" s="284">
        <v>921.69</v>
      </c>
      <c r="X208" s="284">
        <v>952.56000000000006</v>
      </c>
      <c r="Y208" s="284">
        <v>984.53250000000014</v>
      </c>
      <c r="Z208" s="284">
        <v>1015.4025000000001</v>
      </c>
      <c r="AA208" s="284">
        <v>1046.2725</v>
      </c>
      <c r="AB208" s="285">
        <v>1078.2450000000001</v>
      </c>
      <c r="AC208" s="286">
        <v>1109.115</v>
      </c>
      <c r="AD208" s="284">
        <v>1143.2925000000002</v>
      </c>
      <c r="AE208" s="284">
        <v>1174.1625000000001</v>
      </c>
      <c r="AF208" s="284">
        <v>1205.0325000000003</v>
      </c>
      <c r="AG208" s="284">
        <v>1237.0050000000001</v>
      </c>
      <c r="AH208" s="285">
        <v>1267.875</v>
      </c>
    </row>
    <row r="209" spans="1:34" s="160" customFormat="1" ht="15" customHeight="1" x14ac:dyDescent="0.4">
      <c r="A209" s="269"/>
      <c r="B209" s="170">
        <v>2700</v>
      </c>
      <c r="C209" s="284">
        <v>305.39250000000004</v>
      </c>
      <c r="D209" s="284">
        <v>326.34000000000003</v>
      </c>
      <c r="E209" s="284">
        <v>358.3125</v>
      </c>
      <c r="F209" s="284">
        <v>393.59250000000003</v>
      </c>
      <c r="G209" s="284">
        <v>425.56500000000005</v>
      </c>
      <c r="H209" s="284">
        <v>457.53750000000002</v>
      </c>
      <c r="I209" s="284">
        <v>489.51000000000005</v>
      </c>
      <c r="J209" s="284">
        <v>521.48250000000007</v>
      </c>
      <c r="K209" s="284">
        <v>553.45500000000004</v>
      </c>
      <c r="L209" s="284">
        <v>585.42750000000012</v>
      </c>
      <c r="M209" s="284">
        <v>617.4</v>
      </c>
      <c r="N209" s="284">
        <v>651.5775000000001</v>
      </c>
      <c r="O209" s="284">
        <v>683.55000000000007</v>
      </c>
      <c r="P209" s="284">
        <v>715.52250000000004</v>
      </c>
      <c r="Q209" s="284">
        <v>747.495</v>
      </c>
      <c r="R209" s="284">
        <v>779.46750000000009</v>
      </c>
      <c r="S209" s="284">
        <v>811.44</v>
      </c>
      <c r="T209" s="284">
        <v>843.41250000000002</v>
      </c>
      <c r="U209" s="284">
        <v>875.3850000000001</v>
      </c>
      <c r="V209" s="284">
        <v>910.66500000000008</v>
      </c>
      <c r="W209" s="284">
        <v>942.63750000000005</v>
      </c>
      <c r="X209" s="284">
        <v>974.61000000000013</v>
      </c>
      <c r="Y209" s="284">
        <v>1006.5825000000001</v>
      </c>
      <c r="Z209" s="284">
        <v>1038.5550000000001</v>
      </c>
      <c r="AA209" s="284">
        <v>1070.5275000000001</v>
      </c>
      <c r="AB209" s="285">
        <v>1102.5</v>
      </c>
      <c r="AC209" s="286">
        <v>1134.4725000000001</v>
      </c>
      <c r="AD209" s="284">
        <v>1168.6500000000001</v>
      </c>
      <c r="AE209" s="284">
        <v>1200.6225000000002</v>
      </c>
      <c r="AF209" s="284">
        <v>1232.5950000000003</v>
      </c>
      <c r="AG209" s="284">
        <v>1264.5675000000001</v>
      </c>
      <c r="AH209" s="285">
        <v>1296.54</v>
      </c>
    </row>
    <row r="210" spans="1:34" s="160" customFormat="1" ht="15" customHeight="1" x14ac:dyDescent="0.4">
      <c r="A210" s="269"/>
      <c r="B210" s="170">
        <v>2850</v>
      </c>
      <c r="C210" s="284">
        <v>310.90500000000003</v>
      </c>
      <c r="D210" s="284">
        <v>332.95500000000004</v>
      </c>
      <c r="E210" s="284">
        <v>366.03000000000003</v>
      </c>
      <c r="F210" s="284">
        <v>401.31</v>
      </c>
      <c r="G210" s="284">
        <v>434.38500000000005</v>
      </c>
      <c r="H210" s="284">
        <v>466.35750000000007</v>
      </c>
      <c r="I210" s="284">
        <v>499.43250000000006</v>
      </c>
      <c r="J210" s="284">
        <v>532.50750000000005</v>
      </c>
      <c r="K210" s="284">
        <v>564.48</v>
      </c>
      <c r="L210" s="284">
        <v>597.55500000000006</v>
      </c>
      <c r="M210" s="284">
        <v>630.63</v>
      </c>
      <c r="N210" s="284">
        <v>665.91000000000008</v>
      </c>
      <c r="O210" s="284">
        <v>698.98500000000013</v>
      </c>
      <c r="P210" s="284">
        <v>730.95749999999998</v>
      </c>
      <c r="Q210" s="284">
        <v>764.03250000000003</v>
      </c>
      <c r="R210" s="284">
        <v>797.10749999999996</v>
      </c>
      <c r="S210" s="284">
        <v>829.08</v>
      </c>
      <c r="T210" s="284">
        <v>862.15500000000009</v>
      </c>
      <c r="U210" s="284">
        <v>894.12750000000005</v>
      </c>
      <c r="V210" s="284">
        <v>930.5100000000001</v>
      </c>
      <c r="W210" s="284">
        <v>962.48250000000019</v>
      </c>
      <c r="X210" s="284">
        <v>995.55750000000012</v>
      </c>
      <c r="Y210" s="284">
        <v>1028.6325000000002</v>
      </c>
      <c r="Z210" s="284">
        <v>1060.605</v>
      </c>
      <c r="AA210" s="284">
        <v>1093.6800000000003</v>
      </c>
      <c r="AB210" s="285">
        <v>1126.7550000000001</v>
      </c>
      <c r="AC210" s="286">
        <v>1158.7275</v>
      </c>
      <c r="AD210" s="284">
        <v>1195.1100000000001</v>
      </c>
      <c r="AE210" s="284">
        <v>1227.0825000000002</v>
      </c>
      <c r="AF210" s="284">
        <v>1260.1575000000003</v>
      </c>
      <c r="AG210" s="284">
        <v>1293.2325000000001</v>
      </c>
      <c r="AH210" s="285">
        <v>1325.2050000000002</v>
      </c>
    </row>
    <row r="211" spans="1:34" s="160" customFormat="1" ht="15" customHeight="1" thickBot="1" x14ac:dyDescent="0.45">
      <c r="A211" s="269"/>
      <c r="B211" s="171">
        <v>3000</v>
      </c>
      <c r="C211" s="287">
        <v>317.52000000000004</v>
      </c>
      <c r="D211" s="287">
        <v>339.57000000000005</v>
      </c>
      <c r="E211" s="287">
        <v>373.7475</v>
      </c>
      <c r="F211" s="287">
        <v>410.13000000000005</v>
      </c>
      <c r="G211" s="287">
        <v>443.20500000000004</v>
      </c>
      <c r="H211" s="287">
        <v>476.28000000000003</v>
      </c>
      <c r="I211" s="287">
        <v>510.45750000000004</v>
      </c>
      <c r="J211" s="287">
        <v>543.53250000000003</v>
      </c>
      <c r="K211" s="287">
        <v>576.60749999999996</v>
      </c>
      <c r="L211" s="287">
        <v>609.6825</v>
      </c>
      <c r="M211" s="287">
        <v>643.86000000000013</v>
      </c>
      <c r="N211" s="287">
        <v>680.24250000000006</v>
      </c>
      <c r="O211" s="287">
        <v>713.31750000000011</v>
      </c>
      <c r="P211" s="287">
        <v>746.39250000000004</v>
      </c>
      <c r="Q211" s="287">
        <v>780.57</v>
      </c>
      <c r="R211" s="287">
        <v>813.64499999999998</v>
      </c>
      <c r="S211" s="287">
        <v>846.72000000000014</v>
      </c>
      <c r="T211" s="287">
        <v>879.79500000000019</v>
      </c>
      <c r="U211" s="287">
        <v>913.97250000000008</v>
      </c>
      <c r="V211" s="287">
        <v>950.35500000000002</v>
      </c>
      <c r="W211" s="287">
        <v>983.43000000000006</v>
      </c>
      <c r="X211" s="287">
        <v>1016.5050000000001</v>
      </c>
      <c r="Y211" s="287">
        <v>1050.6825000000001</v>
      </c>
      <c r="Z211" s="287">
        <v>1083.7575000000002</v>
      </c>
      <c r="AA211" s="287">
        <v>1116.8325000000002</v>
      </c>
      <c r="AB211" s="288">
        <v>1151.01</v>
      </c>
      <c r="AC211" s="289">
        <v>1184.085</v>
      </c>
      <c r="AD211" s="287">
        <v>1220.4675000000002</v>
      </c>
      <c r="AE211" s="287">
        <v>1253.5425000000002</v>
      </c>
      <c r="AF211" s="287">
        <v>1287.7200000000003</v>
      </c>
      <c r="AG211" s="287">
        <v>1320.7950000000001</v>
      </c>
      <c r="AH211" s="288">
        <v>1353.8700000000001</v>
      </c>
    </row>
    <row r="212" spans="1:34" s="143" customFormat="1" ht="23.15" x14ac:dyDescent="0.6">
      <c r="B212" s="182" t="s">
        <v>25</v>
      </c>
      <c r="C212" s="183"/>
      <c r="D212" s="183"/>
      <c r="F212" s="183"/>
    </row>
    <row r="213" spans="1:34" s="143" customFormat="1" ht="23.15" x14ac:dyDescent="0.6">
      <c r="B213" s="182" t="s">
        <v>35</v>
      </c>
      <c r="C213" s="183"/>
      <c r="D213" s="183"/>
      <c r="F213" s="183"/>
    </row>
    <row r="214" spans="1:34" s="184" customFormat="1" x14ac:dyDescent="0.4"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60"/>
      <c r="Z214" s="160"/>
      <c r="AA214" s="160"/>
      <c r="AB214" s="160"/>
      <c r="AC214" s="160"/>
      <c r="AD214" s="160"/>
      <c r="AE214" s="160"/>
      <c r="AF214" s="160"/>
      <c r="AG214" s="160"/>
      <c r="AH214" s="160"/>
    </row>
    <row r="215" spans="1:34" s="184" customFormat="1" ht="45.9" thickBot="1" x14ac:dyDescent="1.1000000000000001">
      <c r="B215" s="128" t="s">
        <v>34</v>
      </c>
      <c r="C215" s="129"/>
      <c r="D215" s="129"/>
      <c r="E215" s="129"/>
      <c r="F215" s="129"/>
      <c r="G215" s="98"/>
      <c r="H215" s="130"/>
      <c r="I215" s="130"/>
      <c r="J215" s="130"/>
      <c r="K215" s="129"/>
      <c r="L215" s="129"/>
      <c r="M215" s="131"/>
      <c r="N215" s="132"/>
      <c r="O215" s="129"/>
      <c r="P215" s="133"/>
      <c r="Q215" s="133"/>
      <c r="R215" s="133"/>
      <c r="S215" s="133"/>
      <c r="T215" s="133"/>
      <c r="U215" s="133"/>
      <c r="V215" s="133"/>
      <c r="W215" s="133"/>
      <c r="X215" s="133"/>
    </row>
    <row r="216" spans="1:34" s="184" customFormat="1" ht="15.9" thickBot="1" x14ac:dyDescent="0.45">
      <c r="B216" s="134"/>
      <c r="C216" s="135">
        <v>900</v>
      </c>
      <c r="D216" s="136">
        <v>1050</v>
      </c>
      <c r="E216" s="135">
        <v>1200</v>
      </c>
      <c r="F216" s="136">
        <v>1350</v>
      </c>
      <c r="G216" s="135">
        <v>1500</v>
      </c>
      <c r="H216" s="136">
        <v>1650</v>
      </c>
      <c r="I216" s="135">
        <v>1800</v>
      </c>
      <c r="J216" s="136">
        <v>1950</v>
      </c>
      <c r="K216" s="135">
        <v>2100</v>
      </c>
      <c r="L216" s="136">
        <v>2250</v>
      </c>
      <c r="M216" s="135">
        <v>2400</v>
      </c>
      <c r="N216" s="136">
        <v>2550</v>
      </c>
      <c r="O216" s="135">
        <v>2700</v>
      </c>
      <c r="P216" s="136">
        <v>2850</v>
      </c>
      <c r="Q216" s="135">
        <v>3000</v>
      </c>
      <c r="R216" s="136">
        <v>3150</v>
      </c>
      <c r="S216" s="135">
        <v>3300</v>
      </c>
      <c r="T216" s="136">
        <v>3450</v>
      </c>
      <c r="U216" s="135">
        <v>3600</v>
      </c>
      <c r="V216" s="136">
        <v>3750</v>
      </c>
      <c r="W216" s="135">
        <v>3900</v>
      </c>
      <c r="X216" s="137">
        <v>4000</v>
      </c>
      <c r="Y216" s="135">
        <v>4200</v>
      </c>
      <c r="Z216" s="136">
        <v>4350</v>
      </c>
      <c r="AA216" s="167">
        <v>4500</v>
      </c>
      <c r="AB216" s="135">
        <v>4650</v>
      </c>
      <c r="AC216" s="136">
        <v>4800</v>
      </c>
      <c r="AD216" s="136">
        <v>4950</v>
      </c>
      <c r="AE216" s="135">
        <v>5100</v>
      </c>
      <c r="AF216" s="136">
        <v>5250</v>
      </c>
      <c r="AG216" s="137">
        <v>5400</v>
      </c>
    </row>
    <row r="217" spans="1:34" s="184" customFormat="1" ht="15.45" x14ac:dyDescent="0.4">
      <c r="B217" s="138">
        <v>900</v>
      </c>
      <c r="C217" s="248">
        <v>46.357920000000007</v>
      </c>
      <c r="D217" s="249">
        <v>54.084240000000001</v>
      </c>
      <c r="E217" s="249">
        <v>61.810560000000017</v>
      </c>
      <c r="F217" s="249">
        <v>69.536879999999996</v>
      </c>
      <c r="G217" s="249">
        <v>77.263200000000026</v>
      </c>
      <c r="H217" s="249">
        <v>84.989519999999999</v>
      </c>
      <c r="I217" s="249">
        <v>92.715840000000014</v>
      </c>
      <c r="J217" s="249">
        <v>100.44215999999999</v>
      </c>
      <c r="K217" s="249">
        <v>108.16848</v>
      </c>
      <c r="L217" s="249">
        <v>115.8948</v>
      </c>
      <c r="M217" s="249">
        <v>123.62112000000003</v>
      </c>
      <c r="N217" s="249">
        <v>131.34744000000001</v>
      </c>
      <c r="O217" s="250">
        <v>139.07375999999999</v>
      </c>
      <c r="P217" s="250">
        <v>146.80008000000004</v>
      </c>
      <c r="Q217" s="250">
        <v>154.52640000000005</v>
      </c>
      <c r="R217" s="250">
        <v>162.25272000000004</v>
      </c>
      <c r="S217" s="250">
        <v>169.97904</v>
      </c>
      <c r="T217" s="250">
        <v>177.70536000000001</v>
      </c>
      <c r="U217" s="249">
        <v>185.43168000000003</v>
      </c>
      <c r="V217" s="249">
        <v>193.15800000000002</v>
      </c>
      <c r="W217" s="250">
        <v>200.88431999999997</v>
      </c>
      <c r="X217" s="258">
        <v>206.0352</v>
      </c>
      <c r="Y217" s="250">
        <v>216.33696</v>
      </c>
      <c r="Z217" s="250">
        <v>224.06328000000002</v>
      </c>
      <c r="AA217" s="250">
        <v>231.78959999999998</v>
      </c>
      <c r="AB217" s="250">
        <v>239.51592000000002</v>
      </c>
      <c r="AC217" s="250">
        <v>247.24224000000007</v>
      </c>
      <c r="AD217" s="250">
        <v>254.96856000000005</v>
      </c>
      <c r="AE217" s="250">
        <v>262.69488000000001</v>
      </c>
      <c r="AF217" s="250">
        <v>270.4212</v>
      </c>
      <c r="AG217" s="258">
        <v>278.14751999999999</v>
      </c>
    </row>
    <row r="218" spans="1:34" s="184" customFormat="1" ht="15.45" x14ac:dyDescent="0.4">
      <c r="B218" s="139">
        <v>1050</v>
      </c>
      <c r="C218" s="251">
        <v>50.197927500000006</v>
      </c>
      <c r="D218" s="252">
        <v>58.564248750000012</v>
      </c>
      <c r="E218" s="252">
        <v>66.930570000000003</v>
      </c>
      <c r="F218" s="252">
        <v>75.296891250000016</v>
      </c>
      <c r="G218" s="252">
        <v>83.6632125</v>
      </c>
      <c r="H218" s="252">
        <v>92.029533750000013</v>
      </c>
      <c r="I218" s="252">
        <v>100.39585500000001</v>
      </c>
      <c r="J218" s="252">
        <v>108.76217625</v>
      </c>
      <c r="K218" s="252">
        <v>117.12849750000002</v>
      </c>
      <c r="L218" s="252">
        <v>125.49481875000001</v>
      </c>
      <c r="M218" s="252">
        <v>133.86114000000001</v>
      </c>
      <c r="N218" s="252">
        <v>142.22746125000003</v>
      </c>
      <c r="O218" s="253">
        <v>150.59378250000003</v>
      </c>
      <c r="P218" s="253">
        <v>158.96010375000006</v>
      </c>
      <c r="Q218" s="253">
        <v>167.326425</v>
      </c>
      <c r="R218" s="253">
        <v>175.69274625</v>
      </c>
      <c r="S218" s="253">
        <v>184.05906750000003</v>
      </c>
      <c r="T218" s="253">
        <v>192.42538875000002</v>
      </c>
      <c r="U218" s="252">
        <v>200.79171000000002</v>
      </c>
      <c r="V218" s="252">
        <v>209.15803125000002</v>
      </c>
      <c r="W218" s="253">
        <v>217.52435249999999</v>
      </c>
      <c r="X218" s="263">
        <v>223.10190000000006</v>
      </c>
      <c r="Y218" s="253">
        <v>234.25699500000005</v>
      </c>
      <c r="Z218" s="253">
        <v>242.62331625000004</v>
      </c>
      <c r="AA218" s="253">
        <v>250.98963750000001</v>
      </c>
      <c r="AB218" s="253">
        <v>259.35595875000007</v>
      </c>
      <c r="AC218" s="253">
        <v>267.72228000000007</v>
      </c>
      <c r="AD218" s="253">
        <v>276.08860125000001</v>
      </c>
      <c r="AE218" s="253">
        <v>284.45492250000007</v>
      </c>
      <c r="AF218" s="253">
        <v>292.82124375000006</v>
      </c>
      <c r="AG218" s="263">
        <v>301.18756500000006</v>
      </c>
    </row>
    <row r="219" spans="1:34" s="184" customFormat="1" ht="15.45" x14ac:dyDescent="0.4">
      <c r="B219" s="139">
        <v>1200</v>
      </c>
      <c r="C219" s="251">
        <v>54.037935000000019</v>
      </c>
      <c r="D219" s="252">
        <v>63.044257500000008</v>
      </c>
      <c r="E219" s="252">
        <v>72.050580000000011</v>
      </c>
      <c r="F219" s="252">
        <v>81.056902500000021</v>
      </c>
      <c r="G219" s="252">
        <v>90.063225000000003</v>
      </c>
      <c r="H219" s="252">
        <v>99.069547500000027</v>
      </c>
      <c r="I219" s="252">
        <v>108.07587000000004</v>
      </c>
      <c r="J219" s="252">
        <v>117.08219250000002</v>
      </c>
      <c r="K219" s="252">
        <v>126.08851500000002</v>
      </c>
      <c r="L219" s="252">
        <v>135.09483750000001</v>
      </c>
      <c r="M219" s="252">
        <v>144.10116000000002</v>
      </c>
      <c r="N219" s="252">
        <v>153.1074825</v>
      </c>
      <c r="O219" s="253">
        <v>162.11380500000004</v>
      </c>
      <c r="P219" s="253">
        <v>171.12012750000002</v>
      </c>
      <c r="Q219" s="253">
        <v>180.12645000000001</v>
      </c>
      <c r="R219" s="253">
        <v>189.13277249999999</v>
      </c>
      <c r="S219" s="253">
        <v>198.13909500000005</v>
      </c>
      <c r="T219" s="253">
        <v>207.14541750000001</v>
      </c>
      <c r="U219" s="252">
        <v>216.15174000000007</v>
      </c>
      <c r="V219" s="252">
        <v>225.15806250000003</v>
      </c>
      <c r="W219" s="253">
        <v>234.16438500000004</v>
      </c>
      <c r="X219" s="263">
        <v>240.1686</v>
      </c>
      <c r="Y219" s="253">
        <v>252.17703</v>
      </c>
      <c r="Z219" s="253">
        <v>261.18335250000001</v>
      </c>
      <c r="AA219" s="253">
        <v>270.18967500000002</v>
      </c>
      <c r="AB219" s="253">
        <v>279.19599750000003</v>
      </c>
      <c r="AC219" s="253">
        <v>288.20232000000004</v>
      </c>
      <c r="AD219" s="253">
        <v>297.20864250000005</v>
      </c>
      <c r="AE219" s="253">
        <v>306.21496500000001</v>
      </c>
      <c r="AF219" s="253">
        <v>315.22128749999996</v>
      </c>
      <c r="AG219" s="263">
        <v>324.22761000000003</v>
      </c>
    </row>
    <row r="220" spans="1:34" s="184" customFormat="1" ht="15.45" x14ac:dyDescent="0.4">
      <c r="B220" s="139">
        <v>1350</v>
      </c>
      <c r="C220" s="251">
        <v>57.877942500000003</v>
      </c>
      <c r="D220" s="252">
        <v>67.524266249999997</v>
      </c>
      <c r="E220" s="252">
        <v>77.170590000000018</v>
      </c>
      <c r="F220" s="252">
        <v>86.816913749999998</v>
      </c>
      <c r="G220" s="252">
        <v>96.46323750000002</v>
      </c>
      <c r="H220" s="252">
        <v>106.10956125</v>
      </c>
      <c r="I220" s="252">
        <v>115.75588500000001</v>
      </c>
      <c r="J220" s="252">
        <v>125.40220875</v>
      </c>
      <c r="K220" s="252">
        <v>135.04853249999999</v>
      </c>
      <c r="L220" s="252">
        <v>144.69485625000002</v>
      </c>
      <c r="M220" s="252">
        <v>154.34118000000004</v>
      </c>
      <c r="N220" s="252">
        <v>163.98750375</v>
      </c>
      <c r="O220" s="253">
        <v>173.6338275</v>
      </c>
      <c r="P220" s="253">
        <v>183.28015125000002</v>
      </c>
      <c r="Q220" s="253">
        <v>192.92647500000004</v>
      </c>
      <c r="R220" s="253">
        <v>202.57279875000006</v>
      </c>
      <c r="S220" s="253">
        <v>212.2191225</v>
      </c>
      <c r="T220" s="253">
        <v>221.86544624999999</v>
      </c>
      <c r="U220" s="252">
        <v>231.51177000000001</v>
      </c>
      <c r="V220" s="252">
        <v>241.15809375000003</v>
      </c>
      <c r="W220" s="253">
        <v>250.8044175</v>
      </c>
      <c r="X220" s="263">
        <v>257.23530000000005</v>
      </c>
      <c r="Y220" s="253">
        <v>270.09706500000004</v>
      </c>
      <c r="Z220" s="253">
        <v>279.74338875000001</v>
      </c>
      <c r="AA220" s="253">
        <v>289.38971250000003</v>
      </c>
      <c r="AB220" s="253">
        <v>299.03603625000005</v>
      </c>
      <c r="AC220" s="253">
        <v>308.68236000000007</v>
      </c>
      <c r="AD220" s="253">
        <v>318.32868375000004</v>
      </c>
      <c r="AE220" s="253">
        <v>327.9750075</v>
      </c>
      <c r="AF220" s="253">
        <v>337.62133125000003</v>
      </c>
      <c r="AG220" s="263">
        <v>347.26765500000005</v>
      </c>
    </row>
    <row r="221" spans="1:34" s="184" customFormat="1" ht="15.45" x14ac:dyDescent="0.4">
      <c r="B221" s="139">
        <v>1500</v>
      </c>
      <c r="C221" s="251">
        <v>61.717950000000009</v>
      </c>
      <c r="D221" s="252">
        <v>72.004275000000007</v>
      </c>
      <c r="E221" s="252">
        <v>82.290599999999998</v>
      </c>
      <c r="F221" s="252">
        <v>92.576925000000017</v>
      </c>
      <c r="G221" s="252">
        <v>102.86325000000002</v>
      </c>
      <c r="H221" s="252">
        <v>113.149575</v>
      </c>
      <c r="I221" s="252">
        <v>123.43590000000002</v>
      </c>
      <c r="J221" s="252">
        <v>133.72222500000001</v>
      </c>
      <c r="K221" s="252">
        <v>144.00855000000001</v>
      </c>
      <c r="L221" s="252">
        <v>154.29487499999999</v>
      </c>
      <c r="M221" s="252">
        <v>164.5812</v>
      </c>
      <c r="N221" s="252">
        <v>174.86752500000003</v>
      </c>
      <c r="O221" s="253">
        <v>185.15385000000003</v>
      </c>
      <c r="P221" s="253">
        <v>195.44017500000007</v>
      </c>
      <c r="Q221" s="253">
        <v>205.72650000000004</v>
      </c>
      <c r="R221" s="253">
        <v>216.01282500000002</v>
      </c>
      <c r="S221" s="253">
        <v>226.29915</v>
      </c>
      <c r="T221" s="253">
        <v>236.58547499999997</v>
      </c>
      <c r="U221" s="252">
        <v>246.87180000000004</v>
      </c>
      <c r="V221" s="252">
        <v>257.15812500000004</v>
      </c>
      <c r="W221" s="253">
        <v>267.44445000000002</v>
      </c>
      <c r="X221" s="263">
        <v>274.30200000000002</v>
      </c>
      <c r="Y221" s="253">
        <v>288.01710000000003</v>
      </c>
      <c r="Z221" s="253">
        <v>298.30342500000006</v>
      </c>
      <c r="AA221" s="253">
        <v>308.58975000000004</v>
      </c>
      <c r="AB221" s="253">
        <v>318.87607500000001</v>
      </c>
      <c r="AC221" s="253">
        <v>329.16239999999999</v>
      </c>
      <c r="AD221" s="253">
        <v>339.44872499999997</v>
      </c>
      <c r="AE221" s="253">
        <v>349.73505000000006</v>
      </c>
      <c r="AF221" s="253">
        <v>360.02137500000009</v>
      </c>
      <c r="AG221" s="263">
        <v>370.30770000000007</v>
      </c>
    </row>
    <row r="222" spans="1:34" s="184" customFormat="1" ht="15" customHeight="1" x14ac:dyDescent="0.4">
      <c r="B222" s="139">
        <v>1650</v>
      </c>
      <c r="C222" s="251">
        <v>65.557957500000015</v>
      </c>
      <c r="D222" s="252">
        <v>76.484283750000017</v>
      </c>
      <c r="E222" s="252">
        <v>87.41061000000002</v>
      </c>
      <c r="F222" s="252">
        <v>98.336936250000022</v>
      </c>
      <c r="G222" s="252">
        <v>109.26326250000001</v>
      </c>
      <c r="H222" s="252">
        <v>120.18958875000001</v>
      </c>
      <c r="I222" s="252">
        <v>131.11591500000003</v>
      </c>
      <c r="J222" s="252">
        <v>142.04224124999999</v>
      </c>
      <c r="K222" s="252">
        <v>152.96856750000003</v>
      </c>
      <c r="L222" s="252">
        <v>163.89489374999999</v>
      </c>
      <c r="M222" s="252">
        <v>174.82122000000004</v>
      </c>
      <c r="N222" s="252">
        <v>185.74754625</v>
      </c>
      <c r="O222" s="253">
        <v>196.67387250000004</v>
      </c>
      <c r="P222" s="253">
        <v>207.60019875000003</v>
      </c>
      <c r="Q222" s="253">
        <v>218.52652500000002</v>
      </c>
      <c r="R222" s="253">
        <v>229.45285125000001</v>
      </c>
      <c r="S222" s="253">
        <v>240.37917750000003</v>
      </c>
      <c r="T222" s="253">
        <v>251.30550375000004</v>
      </c>
      <c r="U222" s="252">
        <v>262.23183000000006</v>
      </c>
      <c r="V222" s="252">
        <v>273.15815625000005</v>
      </c>
      <c r="W222" s="253">
        <v>284.08448249999998</v>
      </c>
      <c r="X222" s="263">
        <v>291.36869999999999</v>
      </c>
      <c r="Y222" s="253">
        <v>305.93713500000001</v>
      </c>
      <c r="Z222" s="253">
        <v>316.86346125</v>
      </c>
      <c r="AA222" s="253">
        <v>327.78978749999999</v>
      </c>
      <c r="AB222" s="253">
        <v>338.71611375000009</v>
      </c>
      <c r="AC222" s="253">
        <v>349.64244000000002</v>
      </c>
      <c r="AD222" s="253">
        <v>360.56876625000001</v>
      </c>
      <c r="AE222" s="253">
        <v>371.49509249999994</v>
      </c>
      <c r="AF222" s="253">
        <v>382.42141874999999</v>
      </c>
      <c r="AG222" s="263">
        <v>393.34774499999997</v>
      </c>
    </row>
    <row r="223" spans="1:34" s="184" customFormat="1" ht="15" customHeight="1" x14ac:dyDescent="0.4">
      <c r="B223" s="139">
        <v>1800</v>
      </c>
      <c r="C223" s="251">
        <v>69.397965000000013</v>
      </c>
      <c r="D223" s="252">
        <v>80.964292500000013</v>
      </c>
      <c r="E223" s="252">
        <v>92.530620000000027</v>
      </c>
      <c r="F223" s="252">
        <v>104.09694750000001</v>
      </c>
      <c r="G223" s="252">
        <v>115.66327500000003</v>
      </c>
      <c r="H223" s="252">
        <v>127.22960250000003</v>
      </c>
      <c r="I223" s="252">
        <v>138.79593000000003</v>
      </c>
      <c r="J223" s="252">
        <v>150.3622575</v>
      </c>
      <c r="K223" s="252">
        <v>161.92858500000003</v>
      </c>
      <c r="L223" s="252">
        <v>173.49491250000003</v>
      </c>
      <c r="M223" s="252">
        <v>185.06124000000005</v>
      </c>
      <c r="N223" s="252">
        <v>196.6275675</v>
      </c>
      <c r="O223" s="253">
        <v>208.19389500000003</v>
      </c>
      <c r="P223" s="253">
        <v>219.76022250000003</v>
      </c>
      <c r="Q223" s="253">
        <v>231.32655000000005</v>
      </c>
      <c r="R223" s="253">
        <v>242.8928775</v>
      </c>
      <c r="S223" s="253">
        <v>254.45920500000005</v>
      </c>
      <c r="T223" s="253">
        <v>266.0255325</v>
      </c>
      <c r="U223" s="252">
        <v>277.59186000000005</v>
      </c>
      <c r="V223" s="252">
        <v>289.15818750000005</v>
      </c>
      <c r="W223" s="253">
        <v>300.724515</v>
      </c>
      <c r="X223" s="263">
        <v>308.43540000000002</v>
      </c>
      <c r="Y223" s="253">
        <v>323.85717000000005</v>
      </c>
      <c r="Z223" s="253">
        <v>335.4234975</v>
      </c>
      <c r="AA223" s="253">
        <v>346.989825</v>
      </c>
      <c r="AB223" s="253">
        <v>358.5561525</v>
      </c>
      <c r="AC223" s="253">
        <v>370.12248</v>
      </c>
      <c r="AD223" s="253">
        <v>381.6888075</v>
      </c>
      <c r="AE223" s="253">
        <v>393.255135</v>
      </c>
      <c r="AF223" s="253">
        <v>404.8214625</v>
      </c>
      <c r="AG223" s="263">
        <v>416.38779</v>
      </c>
    </row>
    <row r="224" spans="1:34" s="184" customFormat="1" ht="15" customHeight="1" x14ac:dyDescent="0.4">
      <c r="B224" s="139">
        <v>1950</v>
      </c>
      <c r="C224" s="251">
        <v>73.237972499999998</v>
      </c>
      <c r="D224" s="252">
        <v>85.444301250000009</v>
      </c>
      <c r="E224" s="252">
        <v>97.650630000000007</v>
      </c>
      <c r="F224" s="252">
        <v>109.85695874999999</v>
      </c>
      <c r="G224" s="252">
        <v>122.06328750000002</v>
      </c>
      <c r="H224" s="252">
        <v>134.26961624999998</v>
      </c>
      <c r="I224" s="252">
        <v>146.475945</v>
      </c>
      <c r="J224" s="252">
        <v>158.68227374999998</v>
      </c>
      <c r="K224" s="252">
        <v>170.88860250000002</v>
      </c>
      <c r="L224" s="252">
        <v>183.09493125</v>
      </c>
      <c r="M224" s="252">
        <v>195.30126000000001</v>
      </c>
      <c r="N224" s="252">
        <v>207.50758875000002</v>
      </c>
      <c r="O224" s="253">
        <v>219.71391749999998</v>
      </c>
      <c r="P224" s="253">
        <v>231.92024625000002</v>
      </c>
      <c r="Q224" s="253">
        <v>244.12657500000003</v>
      </c>
      <c r="R224" s="253">
        <v>256.33290375000007</v>
      </c>
      <c r="S224" s="253">
        <v>268.53923249999997</v>
      </c>
      <c r="T224" s="253">
        <v>280.74556125000004</v>
      </c>
      <c r="U224" s="252">
        <v>292.95188999999999</v>
      </c>
      <c r="V224" s="252">
        <v>305.15821875000006</v>
      </c>
      <c r="W224" s="253">
        <v>317.36454749999996</v>
      </c>
      <c r="X224" s="263">
        <v>325.50210000000004</v>
      </c>
      <c r="Y224" s="253">
        <v>341.77720500000004</v>
      </c>
      <c r="Z224" s="253">
        <v>353.98353375000005</v>
      </c>
      <c r="AA224" s="253">
        <v>366.18986250000006</v>
      </c>
      <c r="AB224" s="253">
        <v>378.39619125000013</v>
      </c>
      <c r="AC224" s="253">
        <v>390.60252000000003</v>
      </c>
      <c r="AD224" s="253">
        <v>402.8088487500001</v>
      </c>
      <c r="AE224" s="253">
        <v>415.01517750000005</v>
      </c>
      <c r="AF224" s="253">
        <v>427.22150625000012</v>
      </c>
      <c r="AG224" s="263">
        <v>439.42783500000002</v>
      </c>
    </row>
    <row r="225" spans="2:34" s="184" customFormat="1" ht="15" customHeight="1" x14ac:dyDescent="0.4">
      <c r="B225" s="139">
        <v>2100</v>
      </c>
      <c r="C225" s="251">
        <v>77.077980000000025</v>
      </c>
      <c r="D225" s="252">
        <v>89.92431000000002</v>
      </c>
      <c r="E225" s="252">
        <v>102.77064000000003</v>
      </c>
      <c r="F225" s="252">
        <v>115.61697000000001</v>
      </c>
      <c r="G225" s="252">
        <v>128.4633</v>
      </c>
      <c r="H225" s="252">
        <v>141.30963</v>
      </c>
      <c r="I225" s="252">
        <v>154.15596000000005</v>
      </c>
      <c r="J225" s="252">
        <v>167.00229000000002</v>
      </c>
      <c r="K225" s="252">
        <v>179.84862000000004</v>
      </c>
      <c r="L225" s="252">
        <v>192.69495000000001</v>
      </c>
      <c r="M225" s="252">
        <v>205.54128000000006</v>
      </c>
      <c r="N225" s="252">
        <v>218.38761000000002</v>
      </c>
      <c r="O225" s="253">
        <v>231.23394000000002</v>
      </c>
      <c r="P225" s="253">
        <v>244.08027000000004</v>
      </c>
      <c r="Q225" s="253">
        <v>256.92660000000001</v>
      </c>
      <c r="R225" s="253">
        <v>269.77293000000003</v>
      </c>
      <c r="S225" s="253">
        <v>282.61926</v>
      </c>
      <c r="T225" s="253">
        <v>295.46559000000008</v>
      </c>
      <c r="U225" s="252">
        <v>308.3119200000001</v>
      </c>
      <c r="V225" s="252">
        <v>321.15825000000001</v>
      </c>
      <c r="W225" s="253">
        <v>334.00458000000003</v>
      </c>
      <c r="X225" s="263">
        <v>342.56880000000007</v>
      </c>
      <c r="Y225" s="253">
        <v>359.69724000000008</v>
      </c>
      <c r="Z225" s="253">
        <v>372.54357000000005</v>
      </c>
      <c r="AA225" s="253">
        <v>385.38990000000001</v>
      </c>
      <c r="AB225" s="253">
        <v>398.23623000000009</v>
      </c>
      <c r="AC225" s="253">
        <v>411.08256000000011</v>
      </c>
      <c r="AD225" s="253">
        <v>423.92889000000002</v>
      </c>
      <c r="AE225" s="253">
        <v>436.7752200000001</v>
      </c>
      <c r="AF225" s="253">
        <v>449.62155000000007</v>
      </c>
      <c r="AG225" s="263">
        <v>462.46788000000009</v>
      </c>
    </row>
    <row r="226" spans="2:34" s="184" customFormat="1" ht="15" customHeight="1" x14ac:dyDescent="0.4">
      <c r="B226" s="139">
        <v>2250</v>
      </c>
      <c r="C226" s="251">
        <v>80.91798750000001</v>
      </c>
      <c r="D226" s="252">
        <v>94.404318750000002</v>
      </c>
      <c r="E226" s="252">
        <v>107.89065000000002</v>
      </c>
      <c r="F226" s="252">
        <v>121.37698125000001</v>
      </c>
      <c r="G226" s="252">
        <v>134.86331250000001</v>
      </c>
      <c r="H226" s="252">
        <v>148.34964375000001</v>
      </c>
      <c r="I226" s="252">
        <v>161.83597500000002</v>
      </c>
      <c r="J226" s="252">
        <v>175.32230625000003</v>
      </c>
      <c r="K226" s="252">
        <v>188.8086375</v>
      </c>
      <c r="L226" s="252">
        <v>202.29496875000001</v>
      </c>
      <c r="M226" s="252">
        <v>215.78130000000004</v>
      </c>
      <c r="N226" s="252">
        <v>229.26763124999999</v>
      </c>
      <c r="O226" s="253">
        <v>242.75396250000003</v>
      </c>
      <c r="P226" s="253">
        <v>256.24029375000003</v>
      </c>
      <c r="Q226" s="253">
        <v>269.72662500000001</v>
      </c>
      <c r="R226" s="253">
        <v>283.21295625000005</v>
      </c>
      <c r="S226" s="253">
        <v>296.69928750000003</v>
      </c>
      <c r="T226" s="253">
        <v>310.18561875000006</v>
      </c>
      <c r="U226" s="252">
        <v>323.67195000000004</v>
      </c>
      <c r="V226" s="252">
        <v>337.15828125000007</v>
      </c>
      <c r="W226" s="253">
        <v>350.64461250000005</v>
      </c>
      <c r="X226" s="263">
        <v>359.63550000000009</v>
      </c>
      <c r="Y226" s="253">
        <v>377.61727500000001</v>
      </c>
      <c r="Z226" s="253">
        <v>391.10360625000004</v>
      </c>
      <c r="AA226" s="253">
        <v>404.58993750000002</v>
      </c>
      <c r="AB226" s="253">
        <v>418.07626875000005</v>
      </c>
      <c r="AC226" s="253">
        <v>431.56260000000009</v>
      </c>
      <c r="AD226" s="253">
        <v>445.04893125000007</v>
      </c>
      <c r="AE226" s="253">
        <v>458.53526250000004</v>
      </c>
      <c r="AF226" s="253">
        <v>472.02159375000008</v>
      </c>
      <c r="AG226" s="263">
        <v>485.50792500000011</v>
      </c>
    </row>
    <row r="227" spans="2:34" s="184" customFormat="1" ht="15" customHeight="1" x14ac:dyDescent="0.4">
      <c r="B227" s="139">
        <v>2400</v>
      </c>
      <c r="C227" s="251">
        <v>84.757995000000022</v>
      </c>
      <c r="D227" s="252">
        <v>98.884327500000012</v>
      </c>
      <c r="E227" s="252">
        <v>113.01066000000002</v>
      </c>
      <c r="F227" s="252">
        <v>127.13699250000002</v>
      </c>
      <c r="G227" s="252">
        <v>141.26332500000001</v>
      </c>
      <c r="H227" s="252">
        <v>155.38965750000003</v>
      </c>
      <c r="I227" s="252">
        <v>169.51599000000004</v>
      </c>
      <c r="J227" s="252">
        <v>183.64232250000001</v>
      </c>
      <c r="K227" s="252">
        <v>197.76865500000002</v>
      </c>
      <c r="L227" s="252">
        <v>211.89498750000004</v>
      </c>
      <c r="M227" s="252">
        <v>226.02132000000003</v>
      </c>
      <c r="N227" s="252">
        <v>240.14765250000005</v>
      </c>
      <c r="O227" s="253">
        <v>254.27398500000004</v>
      </c>
      <c r="P227" s="253">
        <v>268.40031750000003</v>
      </c>
      <c r="Q227" s="253">
        <v>282.52665000000002</v>
      </c>
      <c r="R227" s="253">
        <v>296.65298250000001</v>
      </c>
      <c r="S227" s="253">
        <v>310.77931500000005</v>
      </c>
      <c r="T227" s="253">
        <v>324.90564750000004</v>
      </c>
      <c r="U227" s="252">
        <v>339.03198000000009</v>
      </c>
      <c r="V227" s="252">
        <v>353.15831250000008</v>
      </c>
      <c r="W227" s="253">
        <v>367.28464500000001</v>
      </c>
      <c r="X227" s="263">
        <v>376.7022</v>
      </c>
      <c r="Y227" s="253">
        <v>395.53731000000005</v>
      </c>
      <c r="Z227" s="253">
        <v>409.66364249999998</v>
      </c>
      <c r="AA227" s="253">
        <v>423.78997500000008</v>
      </c>
      <c r="AB227" s="253">
        <v>437.91630750000007</v>
      </c>
      <c r="AC227" s="253">
        <v>452.04264000000006</v>
      </c>
      <c r="AD227" s="253">
        <v>466.16897250000011</v>
      </c>
      <c r="AE227" s="253">
        <v>480.2953050000001</v>
      </c>
      <c r="AF227" s="253">
        <v>494.42163750000003</v>
      </c>
      <c r="AG227" s="263">
        <v>508.54797000000008</v>
      </c>
    </row>
    <row r="228" spans="2:34" s="184" customFormat="1" ht="15" customHeight="1" x14ac:dyDescent="0.4">
      <c r="B228" s="139">
        <v>2550</v>
      </c>
      <c r="C228" s="251">
        <v>88.598002500000007</v>
      </c>
      <c r="D228" s="252">
        <v>103.36433625000001</v>
      </c>
      <c r="E228" s="252">
        <v>118.13067000000001</v>
      </c>
      <c r="F228" s="252">
        <v>132.89700375000004</v>
      </c>
      <c r="G228" s="252">
        <v>147.66333750000001</v>
      </c>
      <c r="H228" s="252">
        <v>162.42967124999998</v>
      </c>
      <c r="I228" s="252">
        <v>177.19600500000001</v>
      </c>
      <c r="J228" s="252">
        <v>191.96233875000001</v>
      </c>
      <c r="K228" s="252">
        <v>206.72867250000002</v>
      </c>
      <c r="L228" s="252">
        <v>221.49500625000002</v>
      </c>
      <c r="M228" s="252">
        <v>236.26134000000002</v>
      </c>
      <c r="N228" s="252">
        <v>251.02767375000002</v>
      </c>
      <c r="O228" s="253">
        <v>265.79400750000008</v>
      </c>
      <c r="P228" s="253">
        <v>280.56034125000002</v>
      </c>
      <c r="Q228" s="253">
        <v>295.32667500000002</v>
      </c>
      <c r="R228" s="253">
        <v>310.09300875000002</v>
      </c>
      <c r="S228" s="253">
        <v>324.85934249999997</v>
      </c>
      <c r="T228" s="253">
        <v>339.62567625000003</v>
      </c>
      <c r="U228" s="252">
        <v>354.39201000000003</v>
      </c>
      <c r="V228" s="252">
        <v>369.15834374999997</v>
      </c>
      <c r="W228" s="253">
        <v>383.92467750000003</v>
      </c>
      <c r="X228" s="263">
        <v>393.76889999999997</v>
      </c>
      <c r="Y228" s="253">
        <v>413.45734500000003</v>
      </c>
      <c r="Z228" s="253">
        <v>428.22367875000003</v>
      </c>
      <c r="AA228" s="253">
        <v>442.99001250000003</v>
      </c>
      <c r="AB228" s="253">
        <v>457.75634625000004</v>
      </c>
      <c r="AC228" s="253">
        <v>472.52267999999998</v>
      </c>
      <c r="AD228" s="253">
        <v>487.28901375000004</v>
      </c>
      <c r="AE228" s="253">
        <v>502.05534750000004</v>
      </c>
      <c r="AF228" s="253">
        <v>516.82168124999998</v>
      </c>
      <c r="AG228" s="263">
        <v>531.58801500000004</v>
      </c>
    </row>
    <row r="229" spans="2:34" s="184" customFormat="1" ht="15" customHeight="1" x14ac:dyDescent="0.4">
      <c r="B229" s="139">
        <v>2700</v>
      </c>
      <c r="C229" s="251">
        <v>92.438010000000006</v>
      </c>
      <c r="D229" s="252">
        <v>107.844345</v>
      </c>
      <c r="E229" s="252">
        <v>123.25068000000003</v>
      </c>
      <c r="F229" s="252">
        <v>138.657015</v>
      </c>
      <c r="G229" s="252">
        <v>154.06335000000001</v>
      </c>
      <c r="H229" s="252">
        <v>169.469685</v>
      </c>
      <c r="I229" s="252">
        <v>184.87602000000001</v>
      </c>
      <c r="J229" s="252">
        <v>200.282355</v>
      </c>
      <c r="K229" s="252">
        <v>215.68869000000001</v>
      </c>
      <c r="L229" s="252">
        <v>231.09502500000002</v>
      </c>
      <c r="M229" s="252">
        <v>246.50136000000006</v>
      </c>
      <c r="N229" s="252">
        <v>261.90769499999999</v>
      </c>
      <c r="O229" s="253">
        <v>277.31403</v>
      </c>
      <c r="P229" s="253">
        <v>292.72036500000007</v>
      </c>
      <c r="Q229" s="253">
        <v>308.12670000000003</v>
      </c>
      <c r="R229" s="253">
        <v>323.53303500000004</v>
      </c>
      <c r="S229" s="253">
        <v>338.93937</v>
      </c>
      <c r="T229" s="253">
        <v>354.34570500000001</v>
      </c>
      <c r="U229" s="252">
        <v>369.75204000000002</v>
      </c>
      <c r="V229" s="252">
        <v>385.15837500000009</v>
      </c>
      <c r="W229" s="253">
        <v>400.56470999999999</v>
      </c>
      <c r="X229" s="263">
        <v>410.83560000000006</v>
      </c>
      <c r="Y229" s="253">
        <v>431.37738000000007</v>
      </c>
      <c r="Z229" s="253">
        <v>446.78371500000003</v>
      </c>
      <c r="AA229" s="253">
        <v>462.19005000000004</v>
      </c>
      <c r="AB229" s="253">
        <v>477.59638500000011</v>
      </c>
      <c r="AC229" s="253">
        <v>493.00272000000012</v>
      </c>
      <c r="AD229" s="253">
        <v>508.40905500000014</v>
      </c>
      <c r="AE229" s="253">
        <v>523.81539000000009</v>
      </c>
      <c r="AF229" s="253">
        <v>539.22172500000011</v>
      </c>
      <c r="AG229" s="263">
        <v>554.62806000000012</v>
      </c>
    </row>
    <row r="230" spans="2:34" s="184" customFormat="1" ht="15" customHeight="1" x14ac:dyDescent="0.4">
      <c r="B230" s="139">
        <v>2850</v>
      </c>
      <c r="C230" s="251">
        <v>96.278017500000033</v>
      </c>
      <c r="D230" s="252">
        <v>112.32435375000001</v>
      </c>
      <c r="E230" s="252">
        <v>128.37069000000002</v>
      </c>
      <c r="F230" s="252">
        <v>144.41702625000002</v>
      </c>
      <c r="G230" s="252">
        <v>160.46336250000004</v>
      </c>
      <c r="H230" s="252">
        <v>176.50969875000001</v>
      </c>
      <c r="I230" s="252">
        <v>192.55603500000007</v>
      </c>
      <c r="J230" s="252">
        <v>208.60237125</v>
      </c>
      <c r="K230" s="252">
        <v>224.64870750000003</v>
      </c>
      <c r="L230" s="252">
        <v>240.69504375</v>
      </c>
      <c r="M230" s="252">
        <v>256.74138000000005</v>
      </c>
      <c r="N230" s="252">
        <v>272.78771625000002</v>
      </c>
      <c r="O230" s="253">
        <v>288.83405250000004</v>
      </c>
      <c r="P230" s="253">
        <v>304.88038875000001</v>
      </c>
      <c r="Q230" s="253">
        <v>320.92672500000009</v>
      </c>
      <c r="R230" s="253">
        <v>336.97306125000006</v>
      </c>
      <c r="S230" s="253">
        <v>353.01939750000003</v>
      </c>
      <c r="T230" s="253">
        <v>369.06573374999999</v>
      </c>
      <c r="U230" s="252">
        <v>385.11207000000013</v>
      </c>
      <c r="V230" s="252">
        <v>401.15840625000004</v>
      </c>
      <c r="W230" s="253">
        <v>417.20474250000001</v>
      </c>
      <c r="X230" s="263">
        <v>427.90230000000003</v>
      </c>
      <c r="Y230" s="253">
        <v>449.29741500000006</v>
      </c>
      <c r="Z230" s="253">
        <v>465.34375125000003</v>
      </c>
      <c r="AA230" s="253">
        <v>481.39008749999994</v>
      </c>
      <c r="AB230" s="253">
        <v>497.43642375000002</v>
      </c>
      <c r="AC230" s="253">
        <v>513.48275999999998</v>
      </c>
      <c r="AD230" s="253">
        <v>529.52909624999995</v>
      </c>
      <c r="AE230" s="253">
        <v>545.57543250000003</v>
      </c>
      <c r="AF230" s="253">
        <v>561.62176875</v>
      </c>
      <c r="AG230" s="263">
        <v>577.66810500000008</v>
      </c>
    </row>
    <row r="231" spans="2:34" s="184" customFormat="1" ht="15" customHeight="1" thickBot="1" x14ac:dyDescent="0.45">
      <c r="B231" s="140">
        <v>3000</v>
      </c>
      <c r="C231" s="254">
        <v>100.11802500000003</v>
      </c>
      <c r="D231" s="255">
        <v>116.8043625</v>
      </c>
      <c r="E231" s="255">
        <v>133.49070000000003</v>
      </c>
      <c r="F231" s="255">
        <v>150.17703750000001</v>
      </c>
      <c r="G231" s="255">
        <v>166.86337500000002</v>
      </c>
      <c r="H231" s="255">
        <v>183.54971250000003</v>
      </c>
      <c r="I231" s="255">
        <v>200.23605000000006</v>
      </c>
      <c r="J231" s="255">
        <v>216.92238750000001</v>
      </c>
      <c r="K231" s="255">
        <v>233.60872499999999</v>
      </c>
      <c r="L231" s="255">
        <v>250.29506250000003</v>
      </c>
      <c r="M231" s="255">
        <v>266.98140000000006</v>
      </c>
      <c r="N231" s="255">
        <v>283.66773750000004</v>
      </c>
      <c r="O231" s="256">
        <v>300.35407500000002</v>
      </c>
      <c r="P231" s="256">
        <v>317.04041250000012</v>
      </c>
      <c r="Q231" s="256">
        <v>333.72675000000004</v>
      </c>
      <c r="R231" s="256">
        <v>350.41308750000002</v>
      </c>
      <c r="S231" s="256">
        <v>367.09942500000005</v>
      </c>
      <c r="T231" s="256">
        <v>383.78576249999998</v>
      </c>
      <c r="U231" s="255">
        <v>400.47210000000013</v>
      </c>
      <c r="V231" s="255">
        <v>417.15843749999999</v>
      </c>
      <c r="W231" s="256">
        <v>433.84477500000003</v>
      </c>
      <c r="X231" s="265">
        <v>444.96900000000005</v>
      </c>
      <c r="Y231" s="256">
        <v>467.21744999999999</v>
      </c>
      <c r="Z231" s="256">
        <v>483.90378750000008</v>
      </c>
      <c r="AA231" s="256">
        <v>500.59012500000006</v>
      </c>
      <c r="AB231" s="256">
        <v>517.27646249999998</v>
      </c>
      <c r="AC231" s="256">
        <v>533.96280000000002</v>
      </c>
      <c r="AD231" s="256">
        <v>550.64913750000005</v>
      </c>
      <c r="AE231" s="256">
        <v>567.33547500000009</v>
      </c>
      <c r="AF231" s="256">
        <v>584.02181250000012</v>
      </c>
      <c r="AG231" s="265">
        <v>600.70815000000005</v>
      </c>
    </row>
    <row r="232" spans="2:34" s="143" customFormat="1" ht="23.15" x14ac:dyDescent="0.6">
      <c r="B232" s="141" t="s">
        <v>33</v>
      </c>
      <c r="C232" s="142"/>
      <c r="D232" s="142"/>
      <c r="F232" s="142"/>
      <c r="P232" s="133"/>
      <c r="Q232" s="133"/>
      <c r="R232" s="133"/>
      <c r="S232" s="133"/>
      <c r="T232" s="133"/>
      <c r="U232" s="133"/>
      <c r="V232" s="133"/>
      <c r="W232" s="133"/>
      <c r="X232" s="133"/>
    </row>
    <row r="233" spans="2:34" x14ac:dyDescent="0.4"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60"/>
      <c r="Z233" s="160"/>
      <c r="AA233" s="160"/>
      <c r="AB233" s="160"/>
      <c r="AC233" s="160"/>
      <c r="AD233" s="160"/>
      <c r="AE233" s="160"/>
      <c r="AF233" s="160"/>
      <c r="AG233" s="160"/>
      <c r="AH233" s="160"/>
    </row>
    <row r="234" spans="2:34" x14ac:dyDescent="0.4"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60"/>
      <c r="Z234" s="160"/>
      <c r="AA234" s="160"/>
      <c r="AB234" s="160"/>
      <c r="AC234" s="160"/>
      <c r="AD234" s="160"/>
      <c r="AE234" s="160"/>
      <c r="AF234" s="160"/>
      <c r="AG234" s="160"/>
      <c r="AH234" s="160"/>
    </row>
    <row r="235" spans="2:34" x14ac:dyDescent="0.4"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60"/>
      <c r="Z235" s="160"/>
      <c r="AA235" s="160"/>
      <c r="AB235" s="160"/>
      <c r="AC235" s="160"/>
      <c r="AD235" s="160"/>
      <c r="AE235" s="160"/>
      <c r="AF235" s="160"/>
      <c r="AG235" s="160"/>
      <c r="AH235" s="160"/>
    </row>
    <row r="236" spans="2:34" x14ac:dyDescent="0.4"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60"/>
      <c r="Z236" s="160"/>
      <c r="AA236" s="160"/>
      <c r="AB236" s="160"/>
      <c r="AC236" s="160"/>
      <c r="AD236" s="160"/>
      <c r="AE236" s="160"/>
      <c r="AF236" s="160"/>
      <c r="AG236" s="160"/>
      <c r="AH236" s="160"/>
    </row>
    <row r="237" spans="2:34" x14ac:dyDescent="0.4"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60"/>
      <c r="Z237" s="160"/>
      <c r="AA237" s="160"/>
      <c r="AB237" s="160"/>
      <c r="AC237" s="160"/>
      <c r="AD237" s="160"/>
      <c r="AE237" s="160"/>
      <c r="AF237" s="160"/>
      <c r="AG237" s="160"/>
      <c r="AH237" s="160"/>
    </row>
    <row r="238" spans="2:34" x14ac:dyDescent="0.4"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60"/>
      <c r="Z238" s="160"/>
      <c r="AA238" s="160"/>
      <c r="AB238" s="160"/>
      <c r="AC238" s="160"/>
      <c r="AD238" s="160"/>
      <c r="AE238" s="160"/>
      <c r="AF238" s="160"/>
      <c r="AG238" s="160"/>
      <c r="AH238" s="160"/>
    </row>
    <row r="239" spans="2:34" x14ac:dyDescent="0.4"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60"/>
      <c r="Z239" s="160"/>
      <c r="AA239" s="160"/>
      <c r="AB239" s="160"/>
      <c r="AC239" s="160"/>
      <c r="AD239" s="160"/>
      <c r="AE239" s="160"/>
      <c r="AF239" s="160"/>
      <c r="AG239" s="160"/>
      <c r="AH239" s="160"/>
    </row>
    <row r="240" spans="2:34" x14ac:dyDescent="0.4"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60"/>
      <c r="Z240" s="160"/>
      <c r="AA240" s="160"/>
      <c r="AB240" s="160"/>
      <c r="AC240" s="160"/>
      <c r="AD240" s="160"/>
      <c r="AE240" s="160"/>
      <c r="AF240" s="160"/>
      <c r="AG240" s="160"/>
      <c r="AH240" s="160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Roller</vt:lpstr>
      <vt:lpstr>Venetians</vt:lpstr>
      <vt:lpstr>Vertical &amp; Profile</vt:lpstr>
      <vt:lpstr>Roman</vt:lpstr>
      <vt:lpstr>Panel</vt:lpstr>
      <vt:lpstr>Cellular</vt:lpstr>
      <vt:lpstr>Curtain</vt:lpstr>
      <vt:lpstr>Shutter</vt:lpstr>
      <vt:lpstr>Outdoor</vt:lpstr>
      <vt:lpstr>Awning</vt:lpstr>
      <vt:lpstr>window awning</vt:lpstr>
      <vt:lpstr>window awning2</vt:lpstr>
      <vt:lpstr>Cellular!Print_Area</vt:lpstr>
      <vt:lpstr>Curtain!Print_Area</vt:lpstr>
      <vt:lpstr>Outdoor!Print_Area</vt:lpstr>
      <vt:lpstr>Panel!Print_Area</vt:lpstr>
      <vt:lpstr>Roller!Print_Area</vt:lpstr>
      <vt:lpstr>Roman!Print_Area</vt:lpstr>
      <vt:lpstr>Shutter!Print_Area</vt:lpstr>
      <vt:lpstr>Venetians!Print_Area</vt:lpstr>
      <vt:lpstr>'Vertical &amp; Profile'!Print_Area</vt:lpstr>
      <vt:lpstr>Cellular!Print_Titles</vt:lpstr>
      <vt:lpstr>Curtain!Print_Titles</vt:lpstr>
      <vt:lpstr>Outdoor!Print_Titles</vt:lpstr>
      <vt:lpstr>Panel!Print_Titles</vt:lpstr>
      <vt:lpstr>Roller!Print_Titles</vt:lpstr>
      <vt:lpstr>Roman!Print_Titles</vt:lpstr>
      <vt:lpstr>Shutter!Print_Titles</vt:lpstr>
      <vt:lpstr>Venetians!Print_Titles</vt:lpstr>
      <vt:lpstr>'Vertical &amp; Profile'!Print_Titles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Kianady</dc:creator>
  <cp:lastModifiedBy>Yudi Personal</cp:lastModifiedBy>
  <cp:lastPrinted>2023-02-23T08:24:45Z</cp:lastPrinted>
  <dcterms:created xsi:type="dcterms:W3CDTF">2009-09-04T05:17:50Z</dcterms:created>
  <dcterms:modified xsi:type="dcterms:W3CDTF">2026-05-25T08:34:40Z</dcterms:modified>
</cp:coreProperties>
</file>